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2.xml" ContentType="application/vnd.openxmlformats-officedocument.spreadsheetml.comments+xml"/>
  <Override PartName="/xl/worksheets/sheet6.xml" ContentType="application/vnd.openxmlformats-officedocument.spreadsheetml.worksheet+xml"/>
  <Override PartName="/xl/comments3.xml" ContentType="application/vnd.openxmlformats-officedocument.spreadsheetml.comments+xml"/>
  <Override PartName="/xl/worksheets/sheet7.xml" ContentType="application/vnd.openxmlformats-officedocument.spreadsheetml.worksheet+xml"/>
  <Override PartName="/xl/comments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5.xml" ContentType="application/vnd.openxmlformats-officedocument.spreadsheetml.comments+xml"/>
  <Override PartName="/xl/worksheets/sheet10.xml" ContentType="application/vnd.openxmlformats-officedocument.spreadsheetml.worksheet+xml"/>
  <Override PartName="/xl/comments6.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eee5daf89b34251" /></Relationships>
</file>

<file path=xl/workbook.xml><?xml version="1.0" encoding="utf-8"?>
<x:workbook xmlns:x="http://schemas.openxmlformats.org/spreadsheetml/2006/main">
  <x:sheets>
    <x:sheet xmlns:r="http://schemas.openxmlformats.org/officeDocument/2006/relationships" name="00_README" sheetId="1" r:id="R8efda2827f7c4509"/>
    <x:sheet xmlns:r="http://schemas.openxmlformats.org/officeDocument/2006/relationships" name="00b_column_dictionary" sheetId="2" r:id="Rd9f8a7e6b02040a5"/>
    <x:sheet xmlns:r="http://schemas.openxmlformats.org/officeDocument/2006/relationships" name="01_vehicles" sheetId="3" r:id="R4ad4a4fbc5ae4ed5"/>
    <x:sheet xmlns:r="http://schemas.openxmlformats.org/officeDocument/2006/relationships" name="01b_sources" sheetId="4" r:id="Rabb4d4b8590648a5"/>
    <x:sheet xmlns:r="http://schemas.openxmlformats.org/officeDocument/2006/relationships" name="02_battery_specifications" sheetId="5" r:id="Re06df7018cfa4b0b"/>
    <x:sheet xmlns:r="http://schemas.openxmlformats.org/officeDocument/2006/relationships" name="02_parts" sheetId="6" r:id="Rfdf31407a4ca474f"/>
    <x:sheet xmlns:r="http://schemas.openxmlformats.org/officeDocument/2006/relationships" name="03_fitments" sheetId="7" r:id="R8192644a2a1a43ca"/>
    <x:sheet xmlns:r="http://schemas.openxmlformats.org/officeDocument/2006/relationships" name="04_negative_fitments" sheetId="8" r:id="R3f40523e34ac4d36"/>
    <x:sheet xmlns:r="http://schemas.openxmlformats.org/officeDocument/2006/relationships" name="05_suppliers_stores" sheetId="9" r:id="R6a537059fb5c4f35"/>
    <x:sheet xmlns:r="http://schemas.openxmlformats.org/officeDocument/2006/relationships" name="06_inventory_prices" sheetId="10" r:id="R08fe5493d8ae4f97"/>
    <x:sheet xmlns:r="http://schemas.openxmlformats.org/officeDocument/2006/relationships" name="07_ranking_demo" sheetId="11" r:id="Rcc9f237cea364212"/>
    <x:sheet xmlns:r="http://schemas.openxmlformats.org/officeDocument/2006/relationships" name="08_data_hazards" sheetId="12" r:id="R11e36551a33049c4"/>
    <x:sheet xmlns:r="http://schemas.openxmlformats.org/officeDocument/2006/relationships" name="09_golden_set" sheetId="13" r:id="Re53e891434ab481c"/>
    <x:sheet xmlns:r="http://schemas.openxmlformats.org/officeDocument/2006/relationships" name="Glossary" sheetId="14" r:id="Re9d9096ba0e644d2"/>
    <x:sheet xmlns:r="http://schemas.openxmlformats.org/officeDocument/2006/relationships" name="02_real_parts" sheetId="15" r:id="Rfe7c8e95e36d4ad8"/>
    <x:sheet xmlns:r="http://schemas.openxmlformats.org/officeDocument/2006/relationships" name="03_real_fitments" sheetId="16" r:id="Rf212e6cd83074f2a"/>
  </x:sheets>
</x:workbook>
</file>

<file path=xl/comments1.xml><?xml version="1.0" encoding="utf-8"?>
<x:comments xmlns:x="http://schemas.openxmlformats.org/spreadsheetml/2006/main">
  <x:authors>
    <x:author>Unknown Author</x:author>
  </x:authors>
  <x:commentList>
    <x:comment ref="S2" authorId="0">
      <x:text>
        <x:r>
          <x:t>Drives the plan section 17.4 HV suppression gate. TRUE only where a verified HV traction system exists (2025+ hybrid).</x:t>
        </x:r>
      </x:text>
    </x:comment>
    <x:comment ref="Y2" authorId="0">
      <x:text>
        <x:r>
          <x:t>CCA = Cold Cranking Amps (units: amps). OE values where a source gives them; '~' = approximate/range across sources.</x:t>
        </x:r>
      </x:text>
    </x:comment>
    <x:comment ref="AE2" authorId="0">
      <x:text>
        <x:r>
          <x:t>Alternator amperage is NOT published by Honda or OEM parts catalogs for 10th/11th-gen Civic (catalogs list the PN 31100-5BA-A51 only). Forum estimates (~100A) are not credible sources, so this is 'Not publicly verified' rather than guessed.</x:t>
        </x:r>
      </x:text>
    </x:comment>
  </x:commentList>
</x:comments>
</file>

<file path=xl/comments2.xml><?xml version="1.0" encoding="utf-8"?>
<x:comments xmlns:x="http://schemas.openxmlformats.org/spreadsheetml/2006/main">
  <x:authors>
    <x:author>Unknown Author</x:author>
  </x:authors>
  <x:commentList>
    <x:comment ref="P2" authorId="0">
      <x:text>
        <x:r>
          <x:t>CCA is separated into OEM (Honda label) vs aftermarket-typical wherever both are known, per the instruction not to present an aftermarket spec as the Honda OE spec.</x:t>
        </x:r>
      </x:text>
    </x:comment>
    <x:comment ref="Y2" authorId="0">
      <x:text>
        <x:r>
          <x:t>C-rate, peak/continuous discharge, discharge coefficient and cycle life are lithium/deep-cycle concepts. Honda does not publish them for conventional lead-acid STARTING batteries, so those cells say so rather than guess.</x:t>
        </x:r>
      </x:text>
    </x:comment>
  </x:commentList>
</x:comments>
</file>

<file path=xl/comments3.xml><?xml version="1.0" encoding="utf-8"?>
<x:comments xmlns:x="http://schemas.openxmlformats.org/spreadsheetml/2006/main">
  <x:authors>
    <x:author>Unknown Author</x:author>
  </x:authors>
  <x:commentList>
    <x:comment ref="D6" authorId="0">
      <x:text>
        <x:r>
          <x:t>★ 51R vs 51 (row below): identical dimensions, identical CCA, identical price. REVERSED TERMINALS.
Every attribute a naive fitment system models is identical between these two parts.
§13.1 Step 5 DROPS the wrong one — a drop, not a warning, because the cables physically cannot reach.</x:t>
        </x:r>
      </x:text>
    </x:comment>
  </x:commentList>
</x:comments>
</file>

<file path=xl/comments4.xml><?xml version="1.0" encoding="utf-8"?>
<x:comments xmlns:x="http://schemas.openxmlformats.org/spreadsheetml/2006/main">
  <x:authors>
    <x:author>Unknown Author</x:author>
  </x:authors>
  <x:commentList>
    <x:comment ref="P17" authorId="0">
      <x:text>
        <x:r>
          <x:t>valid_to is set → this row is HISTORY, not current. Fitment is versioned (Plan DB3), never updated in place.
This is what makes compatibility-change alerts (F15) possible later without a migration.</x:t>
        </x:r>
      </x:text>
    </x:comment>
  </x:commentList>
</x:comments>
</file>

<file path=xl/comments5.xml><?xml version="1.0" encoding="utf-8"?>
<x:comments xmlns:x="http://schemas.openxmlformats.org/spreadsheetml/2006/main">
  <x:authors>
    <x:author>Unknown Author</x:author>
  </x:authors>
  <x:commentList>
    <x:comment ref="F3" authorId="0">
      <x:text>
        <x:r>
          <x:t>attribution_required / attribution_text are COMPLIANCE columns, not metadata. The UI renders them automatically, so it cannot forget an obligation. Compliance you have to remember is compliance you will forget. Plan §5.3.4.</x:t>
        </x:r>
      </x:text>
    </x:comment>
    <x:comment ref="L13" authorId="0">
      <x:text>
        <x:r>
          <x:t>offers_free_testing is a real and under-used differentiator for THIS category specifically. Free battery/alternator testing is often the correct next step — and sometimes the answer is 'get it tested, buy nothing.' A retailer's own app will never route you to a competitor's free tester. We will.</x:t>
        </x:r>
      </x:text>
    </x:comment>
  </x:commentList>
</x:comments>
</file>

<file path=xl/comments6.xml><?xml version="1.0" encoding="utf-8"?>
<x:comments xmlns:x="http://schemas.openxmlformats.org/spreadsheetml/2006/main">
  <x:authors>
    <x:author>Unknown Author</x:author>
  </x:authors>
  <x:commentList>
    <x:comment ref="A9" authorId="0">
      <x:text>
        <x:r>
          <x:t>OBS-0007 is yesterday's observation for the SAME (store, part) as OBS-0001. It is not deleted or updated — it stays. Append-only gives us a free audit trail, free store-accuracy scoring, and free training data. A mutable qty column gives us none of that and loses history forever.</x:t>
        </x:r>
      </x:text>
    </x:comment>
    <x:comment ref="F3" authorId="0">
      <x:text>
        <x:r>
          <x:t>qty_exact is CAPTURED but NEVER DISPLAYED (Plan §14.3).
POS counts are wrong constantly — shrinkage, damage, holds, mis-scans, the one already sold on the counter. Showing '3' makes a promise the store never made. Showing 'In stock' makes a claim we can defend.
We keep the number for our own accuracy modelling and show the bucket.</x:t>
        </x:r>
      </x:text>
    </x:comment>
    <x:comment ref="G14" authorId="0">
      <x:text>
        <x:r>
          <x:t>core_charge is displayed in the HEADLINE price block, never in fine print. A $65 core on a $190 alternator is 34% of the sticker — it changes the decision. Plan §12.2 S6.</x:t>
        </x:r>
      </x:text>
    </x:comment>
  </x:commentList>
</x:comments>
</file>

<file path=xl/sharedStrings.xml><?xml version="1.0" encoding="utf-8"?>
<x:sst xmlns:x="http://schemas.openxmlformats.org/spreadsheetml/2006/main">
  <x:si>
    <x:t xml:space="preserve">VOLTMAP — Sample Dataset &amp; Ingestion Templates</x:t>
  </x:si>
  <x:si>
    <x:t xml:space="preserve">Companion to VOLTMAP_Product_Plan.md v1.0 — Board Review Draft — 16 July 2026</x:t>
  </x:si>
  <x:si>
    <x:t xml:space="preserve">HOW TO READ THIS WORKBOOK</x:t>
  </x:si>
  <x:si>
    <x:t xml:space="preserve">Blue text</x:t>
  </x:si>
  <x:si>
    <x:t xml:space="preserve">A hardcoded input or assumption. This is a cell a human types into.</x:t>
  </x:si>
  <x:si>
    <x:t xml:space="preserve">Black text</x:t>
  </x:si>
  <x:si>
    <x:t xml:space="preserve">A formula. Do not overwrite — it will recalculate when inputs change.</x:t>
  </x:si>
  <x:si>
    <x:t xml:space="preserve">Yellow fill</x:t>
  </x:si>
  <x:si>
    <x:t xml:space="preserve">A key assumption the reviewer should challenge.</x:t>
  </x:si>
  <x:si>
    <x:t xml:space="preserve">Text-formatted columns</x:t>
  </x:si>
  <x:si>
    <x:t xml:space="preserve">part_number and every *_id column are formatted as TEXT. This is NOT cosmetic — see 08_data_hazards.</x:t>
  </x:si>
  <x:si>
    <x:t xml:space="preserve">Row 2 of each template</x:t>
  </x:si>
  <x:si>
    <x:t xml:space="preserve">One worked example row showing the expected format.</x:t>
  </x:si>
  <x:si>
    <x:t xml:space="preserve">SHEETS</x:t>
  </x:si>
  <x:si>
    <x:t xml:space="preserve">01_vehicles</x:t>
  </x:si>
  <x:si>
    <x:t xml:space="preserve">02_parts</x:t>
  </x:si>
  <x:si>
    <x:t xml:space="preserve">Component master. Electrical attributes live in attributes_json, validated per part type.</x:t>
  </x:si>
  <x:si>
    <x:t xml:space="preserve">03_fitments</x:t>
  </x:si>
  <x:si>
    <x:t xml:space="preserve">★ THE CORE TABLE. One row = one assertion that one part fits one configuration under qualifiers.</x:t>
  </x:si>
  <x:si>
    <x:t xml:space="preserve">04_negative_fitments</x:t>
  </x:si>
  <x:si>
    <x:t xml:space="preserve">Explicit 'does NOT fit'. Absence of a record means UNKNOWN, not NO. Conflating them hides bugs.</x:t>
  </x:si>
  <x:si>
    <x:t xml:space="preserve">05_suppliers_stores</x:t>
  </x:si>
  <x:si>
    <x:t xml:space="preserve">Supply side. Note attribution_required — compliance encoded in the data, not in a wiki.</x:t>
  </x:si>
  <x:si>
    <x:t xml:space="preserve">06_inventory_prices</x:t>
  </x:si>
  <x:si>
    <x:t xml:space="preserve">Append-only OBSERVATIONS. Never a mutable qty column. Current state is a materialized view.</x:t>
  </x:si>
  <x:si>
    <x:t xml:space="preserve">07_ranking_demo</x:t>
  </x:si>
  <x:si>
    <x:t xml:space="preserve">★ LIVE FORMULAS. Traces Plan §14.4 freshness + §14.5 ranking end to end. Change a weight, watch it re-rank.</x:t>
  </x:si>
  <x:si>
    <x:t xml:space="preserve">08_data_hazards</x:t>
  </x:si>
  <x:si>
    <x:t xml:space="preserve">The 10 ways Excel silently corrupts parts data, and the control for each.</x:t>
  </x:si>
  <x:si>
    <x:t xml:space="preserve">09_golden_set</x:t>
  </x:si>
  <x:si>
    <x:t xml:space="preserve">Sample of the 500-row CI gate. Tier-A precision &lt; 97% on this set fails the build.</x:t>
  </x:si>
  <x:si>
    <x:t xml:space="preserve">THE TWO ROWS THAT MATTER MOST</x:t>
  </x:si>
  <x:si>
    <x:t xml:space="preserve">SMPL-BAT-0051 vs -0051R</x:t>
  </x:si>
  <x:si>
    <x:t xml:space="preserve">Identical dimensions, CCA, and price. REVERSED TERMINALS. Every naive system treats these as interchangeable because every attribute a naive system models is identical. Ours DROPS the wrong one (§13.1 Step 5) — a drop, not a warning, because the cables physically will not reach. This pair is the elevator pitch.</x:t>
  </x:si>
  <x:si>
    <x:t xml:space="preserve">SMPL-ALT-0002 vs -0003</x:t>
  </x:si>
  <x:si>
    <x:t xml:space="preserve">Same vehicle (2020 F-150 XLT 5.0L), two mutually exclusive alternators. 200A vs 150A, different connector, different pin count. The deciding factor is the tow package — which the VIN does not decode. This is why the product asks a question instead of guessing.</x:t>
  </x:si>
  <x:si>
    <x:t xml:space="preserve">00b_column_dictionary — what every field means and what belongs in it</x:t>
  </x:si>
  <x:si>
    <x:t xml:space="preserve">Reference for anyone filling or reviewing 01_vehicles and 02_battery_specifications. 'Supplied by' says where a legitimate value comes from — if you cannot get it from that source, the cell stays 'Not publicly verified'. Never substitute a different source's value without re-tagging its basis.</x:t>
  </x:si>
  <x:si>
    <x:t xml:space="preserve">SHEET 01_vehicles — COLUMNS A–M : VEHICLE IDENTITY (preserved; do not repurpose)</x:t>
  </x:si>
  <x:si>
    <x:t xml:space="preserve">Sheet</x:t>
  </x:si>
  <x:si>
    <x:t xml:space="preserve">Col</x:t>
  </x:si>
  <x:si>
    <x:t xml:space="preserve">Field</x:t>
  </x:si>
  <x:si>
    <x:t xml:space="preserve">What belongs in it</x:t>
  </x:si>
  <x:si>
    <x:t xml:space="preserve">Unit / format</x:t>
  </x:si>
  <x:si>
    <x:t xml:space="preserve">Allowed values or example</x:t>
  </x:si>
  <x:si>
    <x:t xml:space="preserve">Supplied by</x:t>
  </x:si>
  <x:si>
    <x:t xml:space="preserve">A</x:t>
  </x:si>
  <x:si>
    <x:t xml:space="preserve">vcdb_base_vehicle_id</x:t>
  </x:si>
  <x:si>
    <x:t xml:space="preserve">Auto Care VCdb BaseVehicle key — year+make+model, trim-independent. Use when a part fits regardless of trim (e.g. a cigar-lighter fuse).</x:t>
  </x:si>
  <x:si>
    <x:t xml:space="preserve">integer, TEXT-formatted</x:t>
  </x:si>
  <x:si>
    <x:t xml:space="preserve">900003</x:t>
  </x:si>
  <x:si>
    <x:t xml:space="preserve">Auto Care VCdb licence</x:t>
  </x:si>
  <x:si>
    <x:t xml:space="preserve">B</x:t>
  </x:si>
  <x:si>
    <x:t xml:space="preserve">vcdb_vehicle_id</x:t>
  </x:si>
  <x:si>
    <x:t xml:space="preserve">★ THE CANONICAL KEY. VCdb Vehicle = base + submodel + engine. Every fitment row joins on this.</x:t>
  </x:si>
  <x:si>
    <x:t xml:space="preserve">910001</x:t>
  </x:si>
  <x:si>
    <x:t xml:space="preserve">C</x:t>
  </x:si>
  <x:si>
    <x:t xml:space="preserve">year</x:t>
  </x:si>
  <x:si>
    <x:t xml:space="preserve">Model year (not build year).</x:t>
  </x:si>
  <x:si>
    <x:t xml:space="preserve">YYYY</x:t>
  </x:si>
  <x:si>
    <x:t xml:space="preserve">2018</x:t>
  </x:si>
  <x:si>
    <x:t xml:space="preserve">VCdb / VIN decode</x:t>
  </x:si>
  <x:si>
    <x:t xml:space="preserve">D</x:t>
  </x:si>
  <x:si>
    <x:t xml:space="preserve">make</x:t>
  </x:si>
  <x:si>
    <x:t xml:space="preserve">Manufacturer, VCdb spelling.</x:t>
  </x:si>
  <x:si>
    <x:t xml:space="preserve">text</x:t>
  </x:si>
  <x:si>
    <x:t xml:space="preserve">Honda</x:t>
  </x:si>
  <x:si>
    <x:t xml:space="preserve">VCdb</x:t>
  </x:si>
  <x:si>
    <x:t xml:space="preserve">E</x:t>
  </x:si>
  <x:si>
    <x:t xml:space="preserve">model</x:t>
  </x:si>
  <x:si>
    <x:t xml:space="preserve">Model, VCdb spelling.</x:t>
  </x:si>
  <x:si>
    <x:t xml:space="preserve">Civic</x:t>
  </x:si>
  <x:si>
    <x:t xml:space="preserve">F</x:t>
  </x:si>
  <x:si>
    <x:t xml:space="preserve">submodel</x:t>
  </x:si>
  <x:si>
    <x:t xml:space="preserve">VCdb SubModel. NOT the marketing trim — marketing trim is free text and is banned here (hazard H8).</x:t>
  </x:si>
  <x:si>
    <x:t xml:space="preserve">LX / Si / Type R</x:t>
  </x:si>
  <x:si>
    <x:t xml:space="preserve">G</x:t>
  </x:si>
  <x:si>
    <x:t xml:space="preserve">region</x:t>
  </x:si>
  <x:si>
    <x:t xml:space="preserve">Market. Specs differ by market; never blend.</x:t>
  </x:si>
  <x:si>
    <x:t xml:space="preserve">US / CA</x:t>
  </x:si>
  <x:si>
    <x:t xml:space="preserve">H</x:t>
  </x:si>
  <x:si>
    <x:t xml:space="preserve">vcdb_engine_config_id</x:t>
  </x:si>
  <x:si>
    <x:t xml:space="preserve">VCdb EngineConfig key. Two identically-named trims can carry different engines.</x:t>
  </x:si>
  <x:si>
    <x:t xml:space="preserve">700101</x:t>
  </x:si>
  <x:si>
    <x:t xml:space="preserve">I</x:t>
  </x:si>
  <x:si>
    <x:t xml:space="preserve">engine_liters</x:t>
  </x:si>
  <x:si>
    <x:t xml:space="preserve">Displacement.</x:t>
  </x:si>
  <x:si>
    <x:t xml:space="preserve">litres, 1 decimal</x:t>
  </x:si>
  <x:si>
    <x:t xml:space="preserve">2.0</x:t>
  </x:si>
  <x:si>
    <x:t xml:space="preserve">VCdb / OEM</x:t>
  </x:si>
  <x:si>
    <x:t xml:space="preserve">J</x:t>
  </x:si>
  <x:si>
    <x:t xml:space="preserve">engine_cylinders</x:t>
  </x:si>
  <x:si>
    <x:t xml:space="preserve">Cylinder count.</x:t>
  </x:si>
  <x:si>
    <x:t xml:space="preserve">integer</x:t>
  </x:si>
  <x:si>
    <x:t xml:space="preserve">4</x:t>
  </x:si>
  <x:si>
    <x:t xml:space="preserve">K</x:t>
  </x:si>
  <x:si>
    <x:t xml:space="preserve">engine_code</x:t>
  </x:si>
  <x:si>
    <x:t xml:space="preserve">Manufacturer engine code — more precise than displacement.</x:t>
  </x:si>
  <x:si>
    <x:t xml:space="preserve">K20C2 / L15B7</x:t>
  </x:si>
  <x:si>
    <x:t xml:space="preserve">OEM</x:t>
  </x:si>
  <x:si>
    <x:t xml:space="preserve">L</x:t>
  </x:si>
  <x:si>
    <x:t xml:space="preserve">aspiration</x:t>
  </x:si>
  <x:si>
    <x:t xml:space="preserve">Induction type.</x:t>
  </x:si>
  <x:si>
    <x:t xml:space="preserve">enum</x:t>
  </x:si>
  <x:si>
    <x:t xml:space="preserve">NATURALLY_ASPIRATED / TURBOCHARGED</x:t>
  </x:si>
  <x:si>
    <x:t xml:space="preserve">M</x:t>
  </x:si>
  <x:si>
    <x:t xml:space="preserve">drive_type</x:t>
  </x:si>
  <x:si>
    <x:t xml:space="preserve">Driveline.</x:t>
  </x:si>
  <x:si>
    <x:t xml:space="preserve">FWD / AWD / 4WD</x:t>
  </x:si>
  <x:si>
    <x:t xml:space="preserve">SHEET 01_vehicles — COLUMNS N ONWARD : ELECTRICAL SYSTEM</x:t>
  </x:si>
  <x:si>
    <x:t xml:space="preserve">N</x:t>
  </x:si>
  <x:si>
    <x:t xml:space="preserve">model_year_range</x:t>
  </x:si>
  <x:si>
    <x:t xml:space="preserve">Span this electrical spec is verified across. Never widen without verifying every year in it.</x:t>
  </x:si>
  <x:si>
    <x:t xml:space="preserve">YYYY-YYYY</x:t>
  </x:si>
  <x:si>
    <x:t xml:space="preserve">2016-2021</x:t>
  </x:si>
  <x:si>
    <x:t xml:space="preserve">Verified research</x:t>
  </x:si>
  <x:si>
    <x:t xml:space="preserve">O</x:t>
  </x:si>
  <x:si>
    <x:t xml:space="preserve">generation</x:t>
  </x:si>
  <x:si>
    <x:t xml:space="preserve">Platform generation + chassis code.</x:t>
  </x:si>
  <x:si>
    <x:t xml:space="preserve">10th (FC/FK)</x:t>
  </x:si>
  <x:si>
    <x:t xml:space="preserve">OEM / enthusiast ref</x:t>
  </x:si>
  <x:si>
    <x:t xml:space="preserve">P</x:t>
  </x:si>
  <x:si>
    <x:t xml:space="preserve">powertrain_type</x:t>
  </x:si>
  <x:si>
    <x:t xml:space="preserve">Separates gas / turbo / performance / hybrid. Drives which fields apply.</x:t>
  </x:si>
  <x:si>
    <x:t xml:space="preserve">Gasoline NA / Gasoline Turbo / Hybrid (2-motor)</x:t>
  </x:si>
  <x:si>
    <x:t xml:space="preserve">Derived from engine</x:t>
  </x:si>
  <x:si>
    <x:t xml:space="preserve">Q</x:t>
  </x:si>
  <x:si>
    <x:t xml:space="preserve">electrical_architecture</x:t>
  </x:si>
  <x:si>
    <x:t xml:space="preserve">Whether the car has a 12V system only, or 12V plus a high-voltage traction system.</x:t>
  </x:si>
  <x:si>
    <x:t xml:space="preserve">12V only / 12V + HV traction</x:t>
  </x:si>
  <x:si>
    <x:t xml:space="preserve">R</x:t>
  </x:si>
  <x:si>
    <x:t xml:space="preserve">system_voltage_v</x:t>
  </x:si>
  <x:si>
    <x:t xml:space="preserve">Nominal low-voltage bus. HARD GATE — a mismatch is an automatic DROP.</x:t>
  </x:si>
  <x:si>
    <x:t xml:space="preserve">volts</x:t>
  </x:si>
  <x:si>
    <x:t xml:space="preserve">12 (24/48 on other vehicles)</x:t>
  </x:si>
  <x:si>
    <x:t xml:space="preserve">S</x:t>
  </x:si>
  <x:si>
    <x:t xml:space="preserve">has_hv_traction_system</x:t>
  </x:si>
  <x:si>
    <x:t xml:space="preserve">★ SAFETY FLAG. TRUE suppresses all HV-category results. Hard-coded, no override.</x:t>
  </x:si>
  <x:si>
    <x:t xml:space="preserve">boolean</x:t>
  </x:si>
  <x:si>
    <x:t xml:space="preserve">TRUE / FALSE</x:t>
  </x:si>
  <x:si>
    <x:t xml:space="preserve">T</x:t>
  </x:si>
  <x:si>
    <x:t xml:space="preserve">battery_registration_required</x:t>
  </x:si>
  <x:si>
    <x:t xml:space="preserve">Whether a replacement battery must be registered/coded to the BCM (common with AGM + idle-stop).</x:t>
  </x:si>
  <x:si>
    <x:t xml:space="preserve">boolean or conditional text</x:t>
  </x:si>
  <x:si>
    <x:t xml:space="preserve">TRUE if idle-stop equipped (AGM)</x:t>
  </x:si>
  <x:si>
    <x:t xml:space="preserve">OEM service info</x:t>
  </x:si>
  <x:si>
    <x:t xml:space="preserve">U</x:t>
  </x:si>
  <x:si>
    <x:t xml:space="preserve">primary_batt_group_bci</x:t>
  </x:si>
  <x:si>
    <x:t xml:space="preserve">BCI group = physical size + terminal layout. NOT a power rating.</x:t>
  </x:si>
  <x:si>
    <x:t xml:space="preserve">BCI code</x:t>
  </x:si>
  <x:si>
    <x:t xml:space="preserve">51R / 47 (H5)</x:t>
  </x:si>
  <x:si>
    <x:t xml:space="preserve">OEM label / fitment guide</x:t>
  </x:si>
  <x:si>
    <x:t xml:space="preserve">V</x:t>
  </x:si>
  <x:si>
    <x:t xml:space="preserve">primary_batt_chemistry</x:t>
  </x:si>
  <x:si>
    <x:t xml:space="preserve">Battery construction type. Some cars REQUIRE a specific chemistry.</x:t>
  </x:si>
  <x:si>
    <x:t xml:space="preserve">enum + note</x:t>
  </x:si>
  <x:si>
    <x:t xml:space="preserve">Flooded / EFB / AGM</x:t>
  </x:si>
  <x:si>
    <x:t xml:space="preserve">OEM part + fitment</x:t>
  </x:si>
  <x:si>
    <x:t xml:space="preserve">W</x:t>
  </x:si>
  <x:si>
    <x:t xml:space="preserve">primary_batt_terminal</x:t>
  </x:si>
  <x:si>
    <x:t xml:space="preserve">Terminal position. 'Reverse (R)' is why a 51 cannot replace a 51R.</x:t>
  </x:si>
  <x:si>
    <x:t xml:space="preserve">Top post, reverse (R)</x:t>
  </x:si>
  <x:si>
    <x:t xml:space="preserve">BCI / OEM</x:t>
  </x:si>
  <x:si>
    <x:t xml:space="preserve">X</x:t>
  </x:si>
  <x:si>
    <x:t xml:space="preserve">primary_batt_nominal_v</x:t>
  </x:si>
  <x:si>
    <x:t xml:space="preserve">Rated battery voltage (not the live reading).</x:t>
  </x:si>
  <x:si>
    <x:t xml:space="preserve">12</x:t>
  </x:si>
  <x:si>
    <x:t xml:space="preserve">Y</x:t>
  </x:si>
  <x:si>
    <x:t xml:space="preserve">primary_batt_cca_a</x:t>
  </x:si>
  <x:si>
    <x:t xml:space="preserve">Cold-cranking amps — starting power at 0 F. Replacement must MATCH OR EXCEED.</x:t>
  </x:si>
  <x:si>
    <x:t xml:space="preserve">amps</x:t>
  </x:si>
  <x:si>
    <x:t xml:space="preserve">OEM ~400 / aftermarket 410-450</x:t>
  </x:si>
  <x:si>
    <x:t xml:space="preserve">OEM label vs aftermarket — tag which</x:t>
  </x:si>
  <x:si>
    <x:t xml:space="preserve">Z</x:t>
  </x:si>
  <x:si>
    <x:t xml:space="preserve">primary_batt_reserve_min</x:t>
  </x:si>
  <x:si>
    <x:t xml:space="preserve">Reserve capacity — minutes at 25A before dropping below 10.5V.</x:t>
  </x:si>
  <x:si>
    <x:t xml:space="preserve">minutes</x:t>
  </x:si>
  <x:si>
    <x:t xml:space="preserve">~85</x:t>
  </x:si>
  <x:si>
    <x:t xml:space="preserve">OEM naming / retailer</x:t>
  </x:si>
  <x:si>
    <x:t xml:space="preserve">AA</x:t>
  </x:si>
  <x:si>
    <x:t xml:space="preserve">aux_12v_battery</x:t>
  </x:si>
  <x:si>
    <x:t xml:space="preserve">Hybrids only: describes the separate 12V auxiliary battery.</x:t>
  </x:si>
  <x:si>
    <x:t xml:space="preserve">Yes — conventional 12V under hood</x:t>
  </x:si>
  <x:si>
    <x:t xml:space="preserve">AB</x:t>
  </x:si>
  <x:si>
    <x:t xml:space="preserve">hv_batt_chemistry</x:t>
  </x:si>
  <x:si>
    <x:t xml:space="preserve">Traction pack chemistry. Hybrids/EVs only.</x:t>
  </x:si>
  <x:si>
    <x:t xml:space="preserve">Lithium-ion</x:t>
  </x:si>
  <x:si>
    <x:t xml:space="preserve">OEM / ERG</x:t>
  </x:si>
  <x:si>
    <x:t xml:space="preserve">AC</x:t>
  </x:si>
  <x:si>
    <x:t xml:space="preserve">hv_batt_nominal_v</x:t>
  </x:si>
  <x:si>
    <x:t xml:space="preserve">★ Traction pack voltage. Lethal range — drives the safety gate.</x:t>
  </x:si>
  <x:si>
    <x:t xml:space="preserve">262</x:t>
  </x:si>
  <x:si>
    <x:t xml:space="preserve">AD</x:t>
  </x:si>
  <x:si>
    <x:t xml:space="preserve">hv_batt_capacity_kwh</x:t>
  </x:si>
  <x:si>
    <x:t xml:space="preserve">Traction pack energy.</x:t>
  </x:si>
  <x:si>
    <x:t xml:space="preserve">kWh</x:t>
  </x:si>
  <x:si>
    <x:t xml:space="preserve">1.06</x:t>
  </x:si>
  <x:si>
    <x:t xml:space="preserve">OEM / manufacturer newsroom</x:t>
  </x:si>
  <x:si>
    <x:t xml:space="preserve">AE</x:t>
  </x:si>
  <x:si>
    <x:t xml:space="preserve">alternator_rated_a</x:t>
  </x:si>
  <x:si>
    <x:t xml:space="preserve">Alternator output rating. Often NOT published — do not guess from forums.</x:t>
  </x:si>
  <x:si>
    <x:t xml:space="preserve">Not publicly verified</x:t>
  </x:si>
  <x:si>
    <x:t xml:space="preserve">OEM service manual</x:t>
  </x:si>
  <x:si>
    <x:t xml:space="preserve">AF</x:t>
  </x:si>
  <x:si>
    <x:t xml:space="preserve">alternator_output_v</x:t>
  </x:si>
  <x:si>
    <x:t xml:space="preserve">Live charging voltage at the battery.</x:t>
  </x:si>
  <x:si>
    <x:t xml:space="preserve">~13.5-14.5 at idle (dual-mode)</x:t>
  </x:si>
  <x:si>
    <x:t xml:space="preserve">Service literature</x:t>
  </x:si>
  <x:si>
    <x:t xml:space="preserve">AG</x:t>
  </x:si>
  <x:si>
    <x:t xml:space="preserve">voltage_regulator_type</x:t>
  </x:si>
  <x:si>
    <x:t xml:space="preserve">How charging voltage is controlled.</x:t>
  </x:si>
  <x:si>
    <x:t xml:space="preserve">Internal regulator, PCM-controlled via ELD</x:t>
  </x:si>
  <x:si>
    <x:t xml:space="preserve">AH</x:t>
  </x:si>
  <x:si>
    <x:t xml:space="preserve">starter_voltage_v</x:t>
  </x:si>
  <x:si>
    <x:t xml:space="preserve">Starter operating voltage. 'N/A' on hybrids with no conventional starter.</x:t>
  </x:si>
  <x:si>
    <x:t xml:space="preserve">volts or N/A</x:t>
  </x:si>
  <x:si>
    <x:t xml:space="preserve">AI</x:t>
  </x:si>
  <x:si>
    <x:t xml:space="preserve">main_fuse_link_rating_a</x:t>
  </x:si>
  <x:si>
    <x:t xml:space="preserve">Main fuse / fusible link rating. HARD GATE — mismatch is a DROP with no override.</x:t>
  </x:si>
  <x:si>
    <x:t xml:space="preserve">Owner's-manual fuse chart</x:t>
  </x:si>
  <x:si>
    <x:t xml:space="preserve">AJ</x:t>
  </x:si>
  <x:si>
    <x:t xml:space="preserve">charging_system_notes</x:t>
  </x:si>
  <x:si>
    <x:t xml:space="preserve">Prose explanation of how the charging system behaves.</x:t>
  </x:si>
  <x:si>
    <x:t xml:space="preserve">free text</x:t>
  </x:si>
  <x:si>
    <x:t xml:space="preserve">ELD dual-mode description</x:t>
  </x:si>
  <x:si>
    <x:t xml:space="preserve">AK</x:t>
  </x:si>
  <x:si>
    <x:t xml:space="preserve">electrical_compat_notes</x:t>
  </x:si>
  <x:si>
    <x:t xml:space="preserve">★ The warnings a human needs: what not to substitute and why.</x:t>
  </x:si>
  <x:si>
    <x:t xml:space="preserve">Do NOT substitute a non-R Group 51 — cables won't reach</x:t>
  </x:si>
  <x:si>
    <x:t xml:space="preserve">SME / verified research</x:t>
  </x:si>
  <x:si>
    <x:t xml:space="preserve">AL</x:t>
  </x:si>
  <x:si>
    <x:t xml:space="preserve">oem_alternator_pn_ref</x:t>
  </x:si>
  <x:si>
    <x:t xml:space="preserve">OEM alternator part number where published.</x:t>
  </x:si>
  <x:si>
    <x:t xml:space="preserve">part number</x:t>
  </x:si>
  <x:si>
    <x:t xml:space="preserve">31100-5BA-A51</x:t>
  </x:si>
  <x:si>
    <x:t xml:space="preserve">OEM parts catalogue</x:t>
  </x:si>
  <x:si>
    <x:t xml:space="preserve">AM</x:t>
  </x:si>
  <x:si>
    <x:t xml:space="preserve">data_source_id</x:t>
  </x:si>
  <x:si>
    <x:t xml:space="preserve">999 = synthetic. Ingestion REJECTS 999 outside dev.</x:t>
  </x:si>
  <x:si>
    <x:t xml:space="preserve">999</x:t>
  </x:si>
  <x:si>
    <x:t xml:space="preserve">Pipeline</x:t>
  </x:si>
  <x:si>
    <x:t xml:space="preserve">AN</x:t>
  </x:si>
  <x:si>
    <x:t xml:space="preserve">mvp_platform</x:t>
  </x:si>
  <x:si>
    <x:t xml:space="preserve">Whether this vehicle is in MVP scope.</x:t>
  </x:si>
  <x:si>
    <x:t xml:space="preserve">TRUE</x:t>
  </x:si>
  <x:si>
    <x:t xml:space="preserve">Product scope</x:t>
  </x:si>
  <x:si>
    <x:t xml:space="preserve">AO</x:t>
  </x:si>
  <x:si>
    <x:t xml:space="preserve">electrical_source_refs</x:t>
  </x:si>
  <x:si>
    <x:t xml:space="preserve">Source codes backing this row — resolve against 01b_sources.</x:t>
  </x:si>
  <x:si>
    <x:t xml:space="preserve">S-codes</x:t>
  </x:si>
  <x:si>
    <x:t xml:space="preserve">S1;S2;S9</x:t>
  </x:si>
  <x:si>
    <x:t xml:space="preserve">Researcher</x:t>
  </x:si>
  <x:si>
    <x:t xml:space="preserve">AP</x:t>
  </x:si>
  <x:si>
    <x:t xml:space="preserve">electrical_data_status</x:t>
  </x:si>
  <x:si>
    <x:t xml:space="preserve">★ Trust label for the row. Colour-coded.</x:t>
  </x:si>
  <x:si>
    <x:t xml:space="preserve">Verified / Conflicting / Not publicly verified / Pending</x:t>
  </x:si>
  <x:si>
    <x:t xml:space="preserve">SHEET 02_battery_specifications — KEY / LINKAGE FIELDS</x:t>
  </x:si>
  <x:si>
    <x:t xml:space="preserve">02_battery</x:t>
  </x:si>
  <x:si>
    <x:t xml:space="preserve">battery_entry_id</x:t>
  </x:si>
  <x:si>
    <x:t xml:space="preserve">Stable row id.</x:t>
  </x:si>
  <x:si>
    <x:t xml:space="preserve">B-CIV-001</x:t>
  </x:si>
  <x:si>
    <x:t xml:space="preserve">B-F</x:t>
  </x:si>
  <x:si>
    <x:t xml:space="preserve">vehicle_manufacturer … engine_or_powertrain</x:t>
  </x:si>
  <x:si>
    <x:t xml:space="preserve">Which vehicle family this battery serves.</x:t>
  </x:si>
  <x:si>
    <x:t xml:space="preserve">Honda / Civic / 2016-2021 / LX / 2.0L NA</x:t>
  </x:si>
  <x:si>
    <x:t xml:space="preserve">Mirrors sheet 01</x:t>
  </x:si>
  <x:si>
    <x:t xml:space="preserve">linked_vcdb_vehicle_ids</x:t>
  </x:si>
  <x:si>
    <x:t xml:space="preserve">★ THE JOIN. Semicolon-separated VehicleIDs from sheet 01 column B.</x:t>
  </x:si>
  <x:si>
    <x:t xml:space="preserve">id list</x:t>
  </x:si>
  <x:si>
    <x:t xml:space="preserve">910001; 910011</x:t>
  </x:si>
  <x:si>
    <x:t xml:space="preserve">Sheet 01</x:t>
  </x:si>
  <x:si>
    <x:t xml:space="preserve">battery_application</x:t>
  </x:si>
  <x:si>
    <x:t xml:space="preserve">What job the battery does.</x:t>
  </x:si>
  <x:si>
    <x:t xml:space="preserve">Starting / Auxiliary / Traction</x:t>
  </x:si>
  <x:si>
    <x:t xml:space="preserve">designation</x:t>
  </x:si>
  <x:si>
    <x:t xml:space="preserve">Human-readable role label.</x:t>
  </x:si>
  <x:si>
    <x:t xml:space="preserve">Starting battery</x:t>
  </x:si>
  <x:si>
    <x:t xml:space="preserve">SHEET 02_battery_specifications — 12V BATTERY SPECIFICATIONS</x:t>
  </x:si>
  <x:si>
    <x:t xml:space="preserve">battery_type_chemistry</x:t>
  </x:si>
  <x:si>
    <x:t xml:space="preserve">Construction type + composition where published.</x:t>
  </x:si>
  <x:si>
    <x:t xml:space="preserve">EFB (OE); AGM required if idle-stop</x:t>
  </x:si>
  <x:si>
    <x:t xml:space="preserve">OEM part / ERG</x:t>
  </x:si>
  <x:si>
    <x:t xml:space="preserve">oem_battery_part_number</x:t>
  </x:si>
  <x:si>
    <x:t xml:space="preserve">★ Honda's own part number. The strongest identifier on the sheet.</x:t>
  </x:si>
  <x:si>
    <x:t xml:space="preserve">31500-TLA-EFB100M</x:t>
  </x:si>
  <x:si>
    <x:t xml:space="preserve">aftermarket_equivalent_part_numbers</x:t>
  </x:si>
  <x:si>
    <x:t xml:space="preserve">Replacements from other makers. NEVER presented as the OE spec.</x:t>
  </x:si>
  <x:si>
    <x:t xml:space="preserve">list</x:t>
  </x:si>
  <x:si>
    <x:t xml:space="preserve">Duralast H5-EFB; Bosch S6-47</x:t>
  </x:si>
  <x:si>
    <x:t xml:space="preserve">Retailer fitment</x:t>
  </x:si>
  <x:si>
    <x:t xml:space="preserve">battery_group_size</x:t>
  </x:si>
  <x:si>
    <x:t xml:space="preserve">BCI group. Record conflicts rather than picking one.</x:t>
  </x:si>
  <x:si>
    <x:t xml:space="preserve">47 (H5) — some sources say 51R</x:t>
  </x:si>
  <x:si>
    <x:t xml:space="preserve">OEM / fitment guide</x:t>
  </x:si>
  <x:si>
    <x:t xml:space="preserve">nominal_voltage_v</x:t>
  </x:si>
  <x:si>
    <x:t xml:space="preserve">Rated voltage.</x:t>
  </x:si>
  <x:si>
    <x:t xml:space="preserve">rated_capacity_ah</x:t>
  </x:si>
  <x:si>
    <x:t xml:space="preserve">Charge capacity. ALWAYS state the rate — Ah differs at 20HR vs 5HR.</x:t>
  </x:si>
  <x:si>
    <x:t xml:space="preserve">Ah @ rate</x:t>
  </x:si>
  <x:si>
    <x:t xml:space="preserve">45 Ah @ 20HR (36 Ah @ 5HR)</x:t>
  </x:si>
  <x:si>
    <x:t xml:space="preserve">OEM (ERG) or BCI-typical</x:t>
  </x:si>
  <x:si>
    <x:t xml:space="preserve">cold_cranking_amps_cca</x:t>
  </x:si>
  <x:si>
    <x:t xml:space="preserve">CCA at 0 F. Split OEM vs aftermarket in the same cell when both known.</x:t>
  </x:si>
  <x:si>
    <x:t xml:space="preserve">OEM ~450 / aftermarket 650</x:t>
  </x:si>
  <x:si>
    <x:t xml:space="preserve">OEM label vs retailer</x:t>
  </x:si>
  <x:si>
    <x:t xml:space="preserve">cranking_amps_ca</x:t>
  </x:si>
  <x:si>
    <x:t xml:space="preserve">CA/MCA at 32 F — a bigger number than CCA for the same battery.</x:t>
  </x:si>
  <x:si>
    <x:t xml:space="preserve">~500</x:t>
  </x:si>
  <x:si>
    <x:t xml:space="preserve">OEM naming / typical</x:t>
  </x:si>
  <x:si>
    <x:t xml:space="preserve">reserve_capacity_min</x:t>
  </x:si>
  <x:si>
    <x:t xml:space="preserve">Minutes at 25A above 10.5V.</x:t>
  </x:si>
  <x:si>
    <x:t xml:space="preserve">~110</x:t>
  </x:si>
  <x:si>
    <x:t xml:space="preserve">energy_capacity_wh_kwh</x:t>
  </x:si>
  <x:si>
    <x:t xml:space="preserve">Stored energy. Tag as [calculated] when derived from V x Ah.</x:t>
  </x:si>
  <x:si>
    <x:t xml:space="preserve">Wh / kWh</x:t>
  </x:si>
  <x:si>
    <x:t xml:space="preserve">~540 Wh [calculated]</x:t>
  </x:si>
  <x:si>
    <x:t xml:space="preserve">Calculated</x:t>
  </x:si>
  <x:si>
    <x:t xml:space="preserve">T-U</x:t>
  </x:si>
  <x:si>
    <x:t xml:space="preserve">standard / max_recommended_charge_amps</x:t>
  </x:si>
  <x:si>
    <x:t xml:space="preserve">Charging current guidance. Rarely an OEM figure for starting batteries.</x:t>
  </x:si>
  <x:si>
    <x:t xml:space="preserve">~5-7 A (guidance, not OEM)</x:t>
  </x:si>
  <x:si>
    <x:t xml:space="preserve">Battery-maker datasheet</x:t>
  </x:si>
  <x:si>
    <x:t xml:space="preserve">V-Y</x:t>
  </x:si>
  <x:si>
    <x:t xml:space="preserve">discharge fields (standard, max continuous, peak, C-rate)</x:t>
  </x:si>
  <x:si>
    <x:t xml:space="preserve">⚠ LITHIUM / DEEP-CYCLE CONCEPTS. Not specified for lead-acid starting batteries by anyone — that is a category that does not apply, not a gap to fill.</x:t>
  </x:si>
  <x:si>
    <x:t xml:space="preserve">amps / C</x:t>
  </x:si>
  <x:si>
    <x:t xml:space="preserve">Not specified for lead-acid starting batteries</x:t>
  </x:si>
  <x:si>
    <x:t xml:space="preserve">Only meaningful on the HV row</x:t>
  </x:si>
  <x:si>
    <x:t xml:space="preserve">discharge_coefficient</x:t>
  </x:si>
  <x:si>
    <x:t xml:space="preserve">Peukert-type factor. Rarely published anywhere.</x:t>
  </x:si>
  <x:si>
    <x:t xml:space="preserve">ratio</x:t>
  </x:si>
  <x:si>
    <x:t xml:space="preserve">AA-AB</x:t>
  </x:si>
  <x:si>
    <x:t xml:space="preserve">recommended / max_depth_of_discharge</x:t>
  </x:si>
  <x:si>
    <x:t xml:space="preserve">How far the battery may be run down.</x:t>
  </x:si>
  <x:si>
    <x:t xml:space="preserve">%</x:t>
  </x:si>
  <x:si>
    <x:t xml:space="preserve">Shallow cycling only (starting battery)</x:t>
  </x:si>
  <x:si>
    <x:t xml:space="preserve">estimated_cycle_life</x:t>
  </x:si>
  <x:si>
    <x:t xml:space="preserve">Cycles before meaningful capacity loss.</x:t>
  </x:si>
  <x:si>
    <x:t xml:space="preserve">cycles</x:t>
  </x:si>
  <x:si>
    <x:t xml:space="preserve">operating_temperature_range</x:t>
  </x:si>
  <x:si>
    <x:t xml:space="preserve">Safe operating temperatures.</x:t>
  </x:si>
  <x:si>
    <x:t xml:space="preserve">°C</x:t>
  </x:si>
  <x:si>
    <x:t xml:space="preserve">Not publicly verified (OEM)</x:t>
  </x:si>
  <x:si>
    <x:t xml:space="preserve">battery_dimensions_lxwxh</x:t>
  </x:si>
  <x:si>
    <x:t xml:space="preserve">Case size — decides whether it physically fits the tray.</x:t>
  </x:si>
  <x:si>
    <x:t xml:space="preserve">mm (and in)</x:t>
  </x:si>
  <x:si>
    <x:t xml:space="preserve">~242 x 175 x 190 mm</x:t>
  </x:si>
  <x:si>
    <x:t xml:space="preserve">BCI standard</x:t>
  </x:si>
  <x:si>
    <x:t xml:space="preserve">battery_weight</x:t>
  </x:si>
  <x:si>
    <x:t xml:space="preserve">Mass.</x:t>
  </x:si>
  <x:si>
    <x:t xml:space="preserve">kg (and lb)</x:t>
  </x:si>
  <x:si>
    <x:t xml:space="preserve">~17-20 kg</x:t>
  </x:si>
  <x:si>
    <x:t xml:space="preserve">BCI-typical</x:t>
  </x:si>
  <x:si>
    <x:t xml:space="preserve">terminal_type_and_orientation</x:t>
  </x:si>
  <x:si>
    <x:t xml:space="preserve">★ Post type and side. The 51 vs 51R distinction lives here.</x:t>
  </x:si>
  <x:si>
    <x:t xml:space="preserve">OEM / BCI</x:t>
  </x:si>
  <x:si>
    <x:t xml:space="preserve">SHEET 02_battery_specifications — HIGH-VOLTAGE PACK FIELDS (hybrid/EV rows only)</x:t>
  </x:si>
  <x:si>
    <x:t xml:space="preserve">hv_nominal_pack_voltage_v</x:t>
  </x:si>
  <x:si>
    <x:t xml:space="preserve">★ Pack voltage. Anything &gt;60V is a lethal-shock domain.</x:t>
  </x:si>
  <x:si>
    <x:t xml:space="preserve">hv_chemistry</x:t>
  </x:si>
  <x:si>
    <x:t xml:space="preserve">Cell chemistry + composition percentages where published.</x:t>
  </x:si>
  <x:si>
    <x:t xml:space="preserve">Lithium-ion (Li metal oxide 15-25%, graphite 5-15%…)</x:t>
  </x:si>
  <x:si>
    <x:t xml:space="preserve">hv_total_energy_kwh</x:t>
  </x:si>
  <x:si>
    <x:t xml:space="preserve">Nameplate energy.</x:t>
  </x:si>
  <x:si>
    <x:t xml:space="preserve">Manufacturer newsroom</x:t>
  </x:si>
  <x:si>
    <x:t xml:space="preserve">hv_usable_energy_kwh</x:t>
  </x:si>
  <x:si>
    <x:t xml:space="preserve">Energy actually cycled (less than total — the BMS reserves headroom).</x:t>
  </x:si>
  <x:si>
    <x:t xml:space="preserve">Service manual</x:t>
  </x:si>
  <x:si>
    <x:t xml:space="preserve">hv_cells_or_modules</x:t>
  </x:si>
  <x:si>
    <x:t xml:space="preserve">Cell count and module split.</x:t>
  </x:si>
  <x:si>
    <x:t xml:space="preserve">count</x:t>
  </x:si>
  <x:si>
    <x:t xml:space="preserve">72 cells (36 x 2 modules)</x:t>
  </x:si>
  <x:si>
    <x:t xml:space="preserve">AM-AN</x:t>
  </x:si>
  <x:si>
    <x:t xml:space="preserve">hv_max_charge / discharge_current</x:t>
  </x:si>
  <x:si>
    <x:t xml:space="preserve">Pack current limits.</x:t>
  </x:si>
  <x:si>
    <x:t xml:space="preserve">hv_cooling_method</x:t>
  </x:si>
  <x:si>
    <x:t xml:space="preserve">How the pack sheds heat — air, liquid, or passive.</x:t>
  </x:si>
  <x:si>
    <x:t xml:space="preserve">Liquid-cooled, ~1.1 L dedicated HV coolant</x:t>
  </x:si>
  <x:si>
    <x:t xml:space="preserve">hv_battery_management_system</x:t>
  </x:si>
  <x:si>
    <x:t xml:space="preserve">What monitors and protects the pack.</x:t>
  </x:si>
  <x:si>
    <x:t xml:space="preserve">HV battery ECU opens contactors on SRS crash signal</x:t>
  </x:si>
  <x:si>
    <x:t xml:space="preserve">AQ</x:t>
  </x:si>
  <x:si>
    <x:t xml:space="preserve">hv_expected_cycle_life</x:t>
  </x:si>
  <x:si>
    <x:t xml:space="preserve">Rated pack longevity.</x:t>
  </x:si>
  <x:si>
    <x:t xml:space="preserve">AR</x:t>
  </x:si>
  <x:si>
    <x:t xml:space="preserve">hv_soc_operating_range</x:t>
  </x:si>
  <x:si>
    <x:t xml:space="preserve">The state-of-charge window the car keeps the pack inside.</x:t>
  </x:si>
  <x:si>
    <x:t xml:space="preserve">AS</x:t>
  </x:si>
  <x:si>
    <x:t xml:space="preserve">hv_max_depth_of_discharge</x:t>
  </x:si>
  <x:si>
    <x:t xml:space="preserve">Deepest permitted discharge.</x:t>
  </x:si>
  <x:si>
    <x:t xml:space="preserve">AT</x:t>
  </x:si>
  <x:si>
    <x:t xml:space="preserve">hv_replacement_assembly_pn</x:t>
  </x:si>
  <x:si>
    <x:t xml:space="preserve">Replacement pack assembly part number.</x:t>
  </x:si>
  <x:si>
    <x:t xml:space="preserve">1D100-6MC-A02 / -A03</x:t>
  </x:si>
  <x:si>
    <x:t xml:space="preserve">AU</x:t>
  </x:si>
  <x:si>
    <x:t xml:space="preserve">hv_safety_and_service_notes</x:t>
  </x:si>
  <x:si>
    <x:t xml:space="preserve">★ Shutdown, fire, submersion, discharge and storage procedures. Safety-critical prose.</x:t>
  </x:si>
  <x:si>
    <x:t xml:space="preserve">Hold POWER 3 s; key 6 m away; airbags live 3 min…</x:t>
  </x:si>
  <x:si>
    <x:t xml:space="preserve">OEM ERG</x:t>
  </x:si>
  <x:si>
    <x:t xml:space="preserve">SHEET 02_battery_specifications — PROVENANCE FIELDS (every row must carry these)</x:t>
  </x:si>
  <x:si>
    <x:t xml:space="preserve">AV</x:t>
  </x:si>
  <x:si>
    <x:t xml:space="preserve">warranty</x:t>
  </x:si>
  <x:si>
    <x:t xml:space="preserve">Coverage where published.</x:t>
  </x:si>
  <x:si>
    <x:t xml:space="preserve">text / months</x:t>
  </x:si>
  <x:si>
    <x:t xml:space="preserve">OEM / retailer</x:t>
  </x:si>
  <x:si>
    <x:t xml:space="preserve">AW</x:t>
  </x:si>
  <x:si>
    <x:t xml:space="preserve">compatibility_notes</x:t>
  </x:si>
  <x:si>
    <x:t xml:space="preserve">★ What a human must know before buying. Substitution warnings live here.</x:t>
  </x:si>
  <x:si>
    <x:t xml:space="preserve">Do NOT apply standard-trim spec to Type R</x:t>
  </x:si>
  <x:si>
    <x:t xml:space="preserve">SME / research</x:t>
  </x:si>
  <x:si>
    <x:t xml:space="preserve">AX</x:t>
  </x:si>
  <x:si>
    <x:t xml:space="preserve">source_links</x:t>
  </x:si>
  <x:si>
    <x:t xml:space="preserve">Direct URLs or document names backing the row.</x:t>
  </x:si>
  <x:si>
    <x:t xml:space="preserve">URLs</x:t>
  </x:si>
  <x:si>
    <x:t xml:space="preserve">hondapartsnow.com/... ; Honda ERG p.21</x:t>
  </x:si>
  <x:si>
    <x:t xml:space="preserve">AY</x:t>
  </x:si>
  <x:si>
    <x:t xml:space="preserve">verification_notes</x:t>
  </x:si>
  <x:si>
    <x:t xml:space="preserve">What was confirmed, what wasn't, and any conflict between sources.</x:t>
  </x:si>
  <x:si>
    <x:t xml:space="preserve">OE PN verified; group conflicts with one source</x:t>
  </x:si>
  <x:si>
    <x:t xml:space="preserve">AZ</x:t>
  </x:si>
  <x:si>
    <x:t xml:space="preserve">verification_status</x:t>
  </x:si>
  <x:si>
    <x:t xml:space="preserve">★ Row-level trust label. Colour-coded.</x:t>
  </x:si>
  <x:si>
    <x:t xml:space="preserve">Verified / Conflicting / Partially / Not publicly verified / Pending</x:t>
  </x:si>
  <x:si>
    <x:t xml:space="preserve">BA</x:t>
  </x:si>
  <x:si>
    <x:t xml:space="preserve">verification_date</x:t>
  </x:si>
  <x:si>
    <x:t xml:space="preserve">When the row was last checked. Specs and part numbers supersede over time.</x:t>
  </x:si>
  <x:si>
    <x:t xml:space="preserve">YYYY-MM-DD</x:t>
  </x:si>
  <x:si>
    <x:t xml:space="preserve">2026-08-21</x:t>
  </x:si>
  <x:si>
    <x:t xml:space="preserve">THE RULE THAT GOVERNS EVERY CELL ABOVE</x:t>
  </x:si>
  <x:si>
    <x:t xml:space="preserve">If the value cannot be obtained from the source named in 'Supplied by', the cell reads 'Not publicly verified' — it is never filled with a plausible estimate, a forum figure, or a value borrowed from a different trim or model year. An empty-but-labelled cell is a finding. A guessed cell is a defect, and it is the exact failure this product exists to prevent.</x:t>
  </x:si>
  <x:si>
    <x:t xml:space="preserve">LX</x:t>
  </x:si>
  <x:si>
    <x:t xml:space="preserve">US</x:t>
  </x:si>
  <x:si>
    <x:t xml:space="preserve">K20C2</x:t>
  </x:si>
  <x:si>
    <x:t xml:space="preserve">NATURALLY_ASPIRATED</x:t>
  </x:si>
  <x:si>
    <x:t xml:space="preserve">FWD</x:t>
  </x:si>
  <x:si>
    <x:t xml:space="preserve">Gasoline NA</x:t>
  </x:si>
  <x:si>
    <x:t xml:space="preserve">12V only</x:t>
  </x:si>
  <x:si>
    <x:t xml:space="preserve">EFB (OE); AGM optional upgrade</x:t>
  </x:si>
  <x:si>
    <x:t xml:space="preserve">Reverse (R)</x:t>
  </x:si>
  <x:si>
    <x:t xml:space="preserve">N/A (the primary battery IS the 12V system battery)</x:t>
  </x:si>
  <x:si>
    <x:t xml:space="preserve">N/A</x:t>
  </x:si>
  <x:si>
    <x:t xml:space="preserve">31100-5BA-A51 (Denso CSP96; 2.0L non-turbo, 2016-2024) - amperage not published</x:t>
  </x:si>
  <x:si>
    <x:t xml:space="preserve">EX-T</x:t>
  </x:si>
  <x:si>
    <x:t xml:space="preserve">L15B7</x:t>
  </x:si>
  <x:si>
    <x:t xml:space="preserve">TURBOCHARGED</x:t>
  </x:si>
  <x:si>
    <x:t xml:space="preserve">Gasoline Turbo</x:t>
  </x:si>
  <x:si>
    <x:t xml:space="preserve">N/A (primary battery is the 12V)</x:t>
  </x:si>
  <x:si>
    <x:t xml:space="preserve">1.5T alternator PN differs from 2.0L - verify by VIN</x:t>
  </x:si>
  <x:si>
    <x:t xml:space="preserve">Si</x:t>
  </x:si>
  <x:si>
    <x:t xml:space="preserve">10th (FC1)</x:t>
  </x:si>
  <x:si>
    <x:t xml:space="preserve">Gasoline Turbo (Si)</x:t>
  </x:si>
  <x:si>
    <x:t xml:space="preserve">Type R</x:t>
  </x:si>
  <x:si>
    <x:t xml:space="preserve">K20C1</x:t>
  </x:si>
  <x:si>
    <x:t xml:space="preserve">10th (FK8)</x:t>
  </x:si>
  <x:si>
    <x:t xml:space="preserve">Gasoline Turbo (Type R)</x:t>
  </x:si>
  <x:si>
    <x:t xml:space="preserve">LX / Sport</x:t>
  </x:si>
  <x:si>
    <x:t xml:space="preserve">11th (FE/FL)</x:t>
  </x:si>
  <x:si>
    <x:t xml:space="preserve">47 (H5) - most sources; some still cite 51R</x:t>
  </x:si>
  <x:si>
    <x:t xml:space="preserve">31100-5BA-A51 (2.0L non-turbo, 2016-2024) - amperage not published</x:t>
  </x:si>
  <x:si>
    <x:t xml:space="preserve">S5;S6;S7;S8;S2 (battery) - S9;S10;S11;S12;S13 (charging)</x:t>
  </x:si>
  <x:si>
    <x:t xml:space="preserve">EX / Sport Touring</x:t>
  </x:si>
  <x:si>
    <x:t xml:space="preserve">Not publicly verified (turbo alt PN differs)</x:t>
  </x:si>
  <x:si>
    <x:t xml:space="preserve">S5;S6;S7;S8 - S9;S10;S11;S12;S13</x:t>
  </x:si>
  <x:si>
    <x:t xml:space="preserve">11th (FE1)</x:t>
  </x:si>
  <x:si>
    <x:t xml:space="preserve">11th (FL5)</x:t>
  </x:si>
  <x:si>
    <x:t xml:space="preserve">Sport / Sport Touring Hybrid</x:t>
  </x:si>
  <x:si>
    <x:t xml:space="preserve">LFC-H4</x:t>
  </x:si>
  <x:si>
    <x:t xml:space="preserve">11th (hybrid)</x:t>
  </x:si>
  <x:si>
    <x:t xml:space="preserve">Hybrid (2-motor)</x:t>
  </x:si>
  <x:si>
    <x:t xml:space="preserve">12V + HV traction</x:t>
  </x:si>
  <x:si>
    <x:t xml:space="preserve">Conventional lead-acid (12V auxiliary)</x:t>
  </x:si>
  <x:si>
    <x:t xml:space="preserve">Yes - conventional 12V auxiliary battery under the hood; runs electronics/wake-up and is a common false-alarm source when weak (not the HV pack).</x:t>
  </x:si>
  <x:si>
    <x:t xml:space="preserve">N/A - no belt-driven alternator</x:t>
  </x:si>
  <x:si>
    <x:t xml:space="preserve">12V bus maintained by a DC-DC converter from the HV pack (not a belt alternator)</x:t>
  </x:si>
  <x:si>
    <x:t xml:space="preserve">N/A - charging managed by the hybrid Power Control Unit (PCU)</x:t>
  </x:si>
  <x:si>
    <x:t xml:space="preserve">N/A - no conventional 12V starter; engine is cranked by the HV integrated starter/generator motor</x:t>
  </x:si>
  <x:si>
    <x:t xml:space="preserve">Series/parallel two-motor hybrid. The 12V bus is fed by a DC-DC converter from the 262V pack, so there is no conventional belt alternator and no conventional 12V starter motor.</x:t>
  </x:si>
  <x:si>
    <x:t xml:space="preserve">★ has_hv_traction_system = TRUE -&gt; HV-set categories (traction battery, PCU/inverter, DC-DC converter, HV cabling, motor-generator) are SUPPRESSED per plan section 17.4. The ONLY in-scope serviceable electrical part here is the 12V auxiliary battery. HV pack OEM PN 1D100-6MC-A02/-A03; NOT interchangeable with any gasoline Civic and dangerous if mishandled.</x:t>
  </x:si>
  <x:si>
    <x:t xml:space="preserve">HV pack: 1D100-6MC-A02 / -A03 (Li-ion, 262V, 1.06 kWh)</x:t>
  </x:si>
  <x:si>
    <x:t xml:space="preserve">Toyota</x:t>
  </x:si>
  <x:si>
    <x:t xml:space="preserve">Camry</x:t>
  </x:si>
  <x:si>
    <x:t xml:space="preserve">LE</x:t>
  </x:si>
  <x:si>
    <x:t xml:space="preserve">A25A-FKS</x:t>
  </x:si>
  <x:si>
    <x:t xml:space="preserve">Ford</x:t>
  </x:si>
  <x:si>
    <x:t xml:space="preserve">F-150</x:t>
  </x:si>
  <x:si>
    <x:t xml:space="preserve">XLT</x:t>
  </x:si>
  <x:si>
    <x:t xml:space="preserve">COYOTE-V8</x:t>
  </x:si>
  <x:si>
    <x:t xml:space="preserve">4WD</x:t>
  </x:si>
  <x:si>
    <x:t xml:space="preserve">PENDING</x:t>
  </x:si>
  <x:si>
    <x:t xml:space="preserve">PENDING - not yet researched (Honda Civic completed first, per instruction).</x:t>
  </x:si>
  <x:si>
    <x:t xml:space="preserve">Existing has_hv / registration flags preserved from prior sheet.</x:t>
  </x:si>
  <x:si>
    <x:t xml:space="preserve">-</x:t>
  </x:si>
  <x:si>
    <x:t xml:space="preserve">ECOBOOST-V6</x:t>
  </x:si>
  <x:si>
    <x:t xml:space="preserve">TWIN_TURBOCHARGED</x:t>
  </x:si>
  <x:si>
    <x:t xml:space="preserve">RAV4</x:t>
  </x:si>
  <x:si>
    <x:t xml:space="preserve">LE Hybrid</x:t>
  </x:si>
  <x:si>
    <x:t xml:space="preserve">A25A-FXS</x:t>
  </x:si>
  <x:si>
    <x:t xml:space="preserve">AWD</x:t>
  </x:si>
  <x:si>
    <x:t xml:space="preserve">Chevrolet</x:t>
  </x:si>
  <x:si>
    <x:t xml:space="preserve">Silverado 1500</x:t>
  </x:si>
  <x:si>
    <x:t xml:space="preserve">LT</x:t>
  </x:si>
  <x:si>
    <x:t xml:space="preserve">L84</x:t>
  </x:si>
  <x:si>
    <x:t xml:space="preserve">Nissan</x:t>
  </x:si>
  <x:si>
    <x:t xml:space="preserve">Altima</x:t>
  </x:si>
  <x:si>
    <x:t xml:space="preserve">QR25DE</x:t>
  </x:si>
  <x:si>
    <x:t xml:space="preserve">01b_sources - references for the Honda Civic electrical data in 01_vehicles</x:t>
  </x:si>
  <x:si>
    <x:t xml:space="preserve">Cross-checked where possible. Tier reflects source strength: OEM/manufacturer/service-doc &gt; parts-retailer fitment &gt; enthusiast/aggregator. Forums are logged only as weak corroboration and never as a sole basis for a value.</x:t>
  </x:si>
  <x:si>
    <x:t xml:space="preserve">id</x:t>
  </x:si>
  <x:si>
    <x:t xml:space="preserve">source</x:t>
  </x:si>
  <x:si>
    <x:t xml:space="preserve">type</x:t>
  </x:si>
  <x:si>
    <x:t xml:space="preserve">tier</x:t>
  </x:si>
  <x:si>
    <x:t xml:space="preserve">what it supports</x:t>
  </x:si>
  <x:si>
    <x:t xml:space="preserve">S1</x:t>
  </x:si>
  <x:si>
    <x:t xml:space="preserve">Firestone Complete Auto Care - Civic 2016-2021</x:t>
  </x:si>
  <x:si>
    <x:t xml:space="preserve">Service retailer</x:t>
  </x:si>
  <x:si>
    <x:t xml:space="preserve">10th-gen std battery 51R, 410-450 CCA; Type R H5/48, 600-700 CCA</x:t>
  </x:si>
  <x:si>
    <x:t xml:space="preserve">S2</x:t>
  </x:si>
  <x:si>
    <x:t xml:space="preserve">PartsGeek - Civic OE battery listing</x:t>
  </x:si>
  <x:si>
    <x:t xml:space="preserve">Parts retailer (OE data)</x:t>
  </x:si>
  <x:si>
    <x:t xml:space="preserve">OE battery is EFB; 450 CCA; group refs (51R/47) 2016-2025</x:t>
  </x:si>
  <x:si>
    <x:t xml:space="preserve">S3</x:t>
  </x:si>
  <x:si>
    <x:t xml:space="preserve">autopadre.com - Civic battery size by year</x:t>
  </x:si>
  <x:si>
    <x:t xml:space="preserve">Battery aggregator</x:t>
  </x:si>
  <x:si>
    <x:t xml:space="preserve">51R for most years; H5 outlier listed for 2018-2019</x:t>
  </x:si>
  <x:si>
    <x:t xml:space="preserve">S4</x:t>
  </x:si>
  <x:si>
    <x:t xml:space="preserve">hondatheotherside.com - Civic battery history</x:t>
  </x:si>
  <x:si>
    <x:t xml:space="preserve">Enthusiast reference</x:t>
  </x:si>
  <x:si>
    <x:t xml:space="preserve">S5</x:t>
  </x:si>
  <x:si>
    <x:t xml:space="preserve">revcivic.com - Civic battery group by year/trim</x:t>
  </x:si>
  <x:si>
    <x:t xml:space="preserve">S6</x:t>
  </x:si>
  <x:si>
    <x:t xml:space="preserve">Optima Batteries - Civic fitment blog</x:t>
  </x:si>
  <x:si>
    <x:t xml:space="preserve">Battery manufacturer</x:t>
  </x:si>
  <x:si>
    <x:t xml:space="preserve">'Honda equipped all Civics with H5 starting model year 2022'</x:t>
  </x:si>
  <x:si>
    <x:t xml:space="preserve">S7</x:t>
  </x:si>
  <x:si>
    <x:t xml:space="preserve">Advance Auto Parts - 2023 Civic fitment</x:t>
  </x:si>
  <x:si>
    <x:t xml:space="preserve">Parts retailer (fitment)</x:t>
  </x:si>
  <x:si>
    <x:t xml:space="preserve">2023 Civic OE-type = EFB, H5 group, 650 CCA, 110 min reserve capacity</x:t>
  </x:si>
  <x:si>
    <x:t xml:space="preserve">S8</x:t>
  </x:si>
  <x:si>
    <x:t xml:space="preserve">tpautorepair.net - Civic battery guide</x:t>
  </x:si>
  <x:si>
    <x:t xml:space="preserve">Repair shop</x:t>
  </x:si>
  <x:si>
    <x:t xml:space="preserve">51R predominant; some newer trims 47/H5/L2; confirms conflict, says VIN-verify</x:t>
  </x:si>
  <x:si>
    <x:t xml:space="preserve">S9</x:t>
  </x:si>
  <x:si>
    <x:t xml:space="preserve">Trade technical</x:t>
  </x:si>
  <x:si>
    <x:t xml:space="preserve">ELD architecture; PCM-controlled alternator; use OEM/quality reman</x:t>
  </x:si>
  <x:si>
    <x:t xml:space="preserve">S10</x:t>
  </x:si>
  <x:si>
    <x:t xml:space="preserve">TroubleCodes.net - P1298 ELD</x:t>
  </x:si>
  <x:si>
    <x:t xml:space="preserve">Technical reference</x:t>
  </x:si>
  <x:si>
    <x:t xml:space="preserve">ELD in underhood fuse box; alternator high mode ~14.4V</x:t>
  </x:si>
  <x:si>
    <x:t xml:space="preserve">S11</x:t>
  </x:si>
  <x:si>
    <x:t xml:space="preserve">Brake &amp; Front End / Identifix - Honda ELD tech tip</x:t>
  </x:si>
  <x:si>
    <x:t xml:space="preserve">ELD reference-voltage behavior; dual high/low output control</x:t>
  </x:si>
  <x:si>
    <x:t xml:space="preserve">S12</x:t>
  </x:si>
  <x:si>
    <x:t xml:space="preserve">Low-mode setpoint 12.4-12.9V; high/low switching; P16BB/P0562 diagnostics</x:t>
  </x:si>
  <x:si>
    <x:t xml:space="preserve">S13</x:t>
  </x:si>
  <x:si>
    <x:t xml:space="preserve">hybrid-racing.com - Denso alternator note</x:t>
  </x:si>
  <x:si>
    <x:t xml:space="preserve">Parts vendor</x:t>
  </x:si>
  <x:si>
    <x:t xml:space="preserve">Healthy Honda charging ~13.5-14.5V at idle (corroborates output range)</x:t>
  </x:si>
  <x:si>
    <x:t xml:space="preserve">S14</x:t>
  </x:si>
  <x:si>
    <x:t xml:space="preserve">hondafactoryparts / alldiscountparts / hondapartsnow - OEM alternator</x:t>
  </x:si>
  <x:si>
    <x:t xml:space="preserve">OEM parts catalog</x:t>
  </x:si>
  <x:si>
    <x:t xml:space="preserve">OE alternator PN 31100-5BA-A51 (Denso CSP96) for 2.0L non-turbo 2016-2024; amperage NOT published</x:t>
  </x:si>
  <x:si>
    <x:t xml:space="preserve">S15</x:t>
  </x:si>
  <x:si>
    <x:t xml:space="preserve">go-parts.com - 2025-2026 Civic Hybrid HV battery</x:t>
  </x:si>
  <x:si>
    <x:t xml:space="preserve">Parts reference (OEM PN)</x:t>
  </x:si>
  <x:si>
    <x:t xml:space="preserve">HV pack: Li-ion, 262V, 1.06 kWh; OEM PN 1D100-6MC-A02/-A03; separate 12V under hood</x:t>
  </x:si>
  <x:si>
    <x:t xml:space="preserve">S16</x:t>
  </x:si>
  <x:si>
    <x:t xml:space="preserve">Honda Newsroom (hondanews.com) - Two-Motor Hybrid</x:t>
  </x:si>
  <x:si>
    <x:t xml:space="preserve">Manufacturer</x:t>
  </x:si>
  <x:si>
    <x:t xml:space="preserve">4th-gen two-motor system; IPU houses 1.06 kWh battery; engine started by generator/starter motor</x:t>
  </x:si>
  <x:si>
    <x:t xml:space="preserve">S17</x:t>
  </x:si>
  <x:si>
    <x:t xml:space="preserve">honda.oempartsonline.com - 2025 Civic battery catalog</x:t>
  </x:si>
  <x:si>
    <x:t xml:space="preserve">Hybrid retains a conventional 12V battery; Type R and Si differ from standard trims</x:t>
  </x:si>
  <x:si>
    <x:t xml:space="preserve">S18</x:t>
  </x:si>
  <x:si>
    <x:t xml:space="preserve">9thgencivic.com forum</x:t>
  </x:si>
  <x:si>
    <x:t xml:space="preserve">Owner forum</x:t>
  </x:si>
  <x:si>
    <x:t xml:space="preserve">9th-gen owners cite a ~100A main fuse - logged only; not used as a verified value</x:t>
  </x:si>
  <x:si>
    <x:t xml:space="preserve">S19</x:t>
  </x:si>
  <x:si>
    <x:t xml:space="preserve">Honda Owner's Manual fuse chart (techinfo.honda.com)</x:t>
  </x:si>
  <x:si>
    <x:t xml:space="preserve">Manufacturer (authoritative)</x:t>
  </x:si>
  <x:si>
    <x:t xml:space="preserve">Authoritative fuse ratings - referenced as the correct source; specific amperages not extracted here</x:t>
  </x:si>
  <x:si>
    <x:t xml:space="preserve">S20</x:t>
  </x:si>
  <x:si>
    <x:t xml:space="preserve">Manufacturer (OEM safety doc)</x:t>
  </x:si>
  <x:si>
    <x:t xml:space="preserve">HV pack 262 V, 72 cells (36 x 2), Li-ion + full chemistry composition; LIQUID HV cooling (~1.1 L); 12V aux 45 Ah/20HR (36 Ah/5HR) lead-acid; HV shutdown/fire/discharge procedures; pack under rear seat; curb weight 1480 kg (4-door)</x:t>
  </x:si>
  <x:si>
    <x:t xml:space="preserve">STILL REQUIRING VERIFICATION (do not fill without a primary source):</x:t>
  </x:si>
  <x:si>
    <x:t xml:space="preserve">- Alternator rated amperage - every 10th/11th-gen trim (OEM catalogs list PN only; no amperage). Source: Honda service manual / Denso spec sheet.</x:t>
  </x:si>
  <x:si>
    <x:t xml:space="preserve">- Main fuse / fusible-link rating - all trims. Source: the model-year owner's-manual fuse chart (S19).</x:t>
  </x:si>
  <x:si>
    <x:t xml:space="preserve">- Primary battery CCA/reserve for Si and Type R (all gens) and the 2025 hybrid's 12V auxiliary - not separately published.</x:t>
  </x:si>
  <x:si>
    <x:t xml:space="preserve">- 11th-gen standard group size: H5/Group 47 (Optima, Advance Auto) vs 51R (tpautorepair) is unresolved - resolve against a VIN-decoded OE label.</x:t>
  </x:si>
  <x:si>
    <x:t xml:space="preserve">- Battery registration/BMS coding requirement per trim (idle-stop AGM) - confirm against Honda service info.</x:t>
  </x:si>
  <x:si>
    <x:t xml:space="preserve">UPDATE 2026-08-21 - Honda ERG (S20) received and applied. It resolved the hybrid's 12V capacity and chemistry, the HV cell/module split, and HV cooling method. It does NOT contain charge/discharge current, C-rate, SOC window, usable energy or cycle life - those remain paid-service-manual items (techinfo.honda.com).</x:t>
  </x:si>
  <x:si>
    <x:t xml:space="preserve">vehicle_manufacturer</x:t>
  </x:si>
  <x:si>
    <x:t xml:space="preserve">vehicle_model</x:t>
  </x:si>
  <x:si>
    <x:t xml:space="preserve">trim_or_config</x:t>
  </x:si>
  <x:si>
    <x:t xml:space="preserve">engine_or_powertrain</x:t>
  </x:si>
  <x:si>
    <x:t xml:space="preserve">linked_vcdb_vehicle_ids (Sheet 1)</x:t>
  </x:si>
  <x:si>
    <x:t xml:space="preserve">standard_charge_amps</x:t>
  </x:si>
  <x:si>
    <x:t xml:space="preserve">max_recommended_charge_amps</x:t>
  </x:si>
  <x:si>
    <x:t xml:space="preserve">standard_discharge_amps</x:t>
  </x:si>
  <x:si>
    <x:t xml:space="preserve">max_continuous_discharge_a</x:t>
  </x:si>
  <x:si>
    <x:t xml:space="preserve">peak_discharge_amps</x:t>
  </x:si>
  <x:si>
    <x:t xml:space="preserve">discharge_c_rate</x:t>
  </x:si>
  <x:si>
    <x:t xml:space="preserve">recommended_depth_of_discharge</x:t>
  </x:si>
  <x:si>
    <x:t xml:space="preserve">max_depth_of_discharge</x:t>
  </x:si>
  <x:si>
    <x:t xml:space="preserve">hv_max_charge_current</x:t>
  </x:si>
  <x:si>
    <x:t xml:space="preserve">hv_max_discharge_current</x:t>
  </x:si>
  <x:si>
    <x:t xml:space="preserve">2.0L NA (K20C2) and 1.5T (L15B7)</x:t>
  </x:si>
  <x:si>
    <x:t xml:space="preserve">Starting (12V)</x:t>
  </x:si>
  <x:si>
    <x:t xml:space="preserve">Flooded / EFB (OE). AGM = optional upgrade. [basis: OEM part naming + retailer fitment]</x:t>
  </x:si>
  <x:si>
    <x:t xml:space="preserve">Honda 31500-SR1-100M ('51R / 500Amp85') [OEM]. Long supersession chain (e.g. 31500-SR1-A04).</x:t>
  </x:si>
  <x:si>
    <x:t xml:space="preserve">Optima D51R (AGM) · XS Power D5100R · Deka/East Penn 51R · ACDelco/Duralast/Interstate 51R [aftermarket - verify fitment]</x:t>
  </x:si>
  <x:si>
    <x:t xml:space="preserve">~4-6 A (general lead-acid charging guidance; not an OEM figure)</x:t>
  </x:si>
  <x:si>
    <x:t xml:space="preserve">Shallow cycling only (starting battery; not a deep-cycle spec)</x:t>
  </x:si>
  <x:si>
    <x:t xml:space="preserve">Top post, reverse (R) - positive on the right when facing terminals [OEM]</x:t>
  </x:si>
  <x:si>
    <x:t xml:space="preserve">N/A (conventional 12V battery)</x:t>
  </x:si>
  <x:si>
    <x:t xml:space="preserve">B-CIV-002</x:t>
  </x:si>
  <x:si>
    <x:t xml:space="preserve">1.5T (L15B7, tuned)</x:t>
  </x:si>
  <x:si>
    <x:t xml:space="preserve">B-CIV-003</x:t>
  </x:si>
  <x:si>
    <x:t xml:space="preserve">Type R (FK8)</x:t>
  </x:si>
  <x:si>
    <x:t xml:space="preserve">2.0T (K20C1)</x:t>
  </x:si>
  <x:si>
    <x:t xml:space="preserve">B-CIV-004</x:t>
  </x:si>
  <x:si>
    <x:t xml:space="preserve">Honda 31500-TLA-EFB100M ('H5 EFB', Clarios; supersedes 31500-TNY-A01) [OEM]. Sibling OE 31500-TLA-A11.</x:t>
  </x:si>
  <x:si>
    <x:t xml:space="preserve">Duralast H5-EFB (650 CCA) · Duralast H5-AGMEL (680 CCA, AGM) · Bosch S6-47 · DieHard H5 [aftermarket]</x:t>
  </x:si>
  <x:si>
    <x:t xml:space="preserve">47 (H5 / LN2) - most sources; a minority still list 51R [OEM leans H5]</x:t>
  </x:si>
  <x:si>
    <x:t xml:space="preserve">OEM ~450 CCA (Honda label, owner-reported on sibling 31500-TLA-A11) · aftermarket H5 EFB ~650 / AGM ~680 CCA</x:t>
  </x:si>
  <x:si>
    <x:t xml:space="preserve">~700-810 CA (group-47 typical) [aftermarket-typical]</x:t>
  </x:si>
  <x:si>
    <x:t xml:space="preserve">~100-115 min (group-47 typical); Advance Auto lists 110 min for a 2023 EFB H5 [aftermarket/retailer]</x:t>
  </x:si>
  <x:si>
    <x:t xml:space="preserve">~5-7 A recommended (group-47 charging guidance; not an OEM figure)</x:t>
  </x:si>
  <x:si>
    <x:t xml:space="preserve">Top, reverse layout, European recessed posts (LN2) [OEM]</x:t>
  </x:si>
  <x:si>
    <x:t xml:space="preserve">2026-07-30</x:t>
  </x:si>
  <x:si>
    <x:t xml:space="preserve">B-CIV-005</x:t>
  </x:si>
  <x:si>
    <x:t xml:space="preserve">Si (FE1)</x:t>
  </x:si>
  <x:si>
    <x:t xml:space="preserve">1.5T (L15B7)</x:t>
  </x:si>
  <x:si>
    <x:t xml:space="preserve">B-CIV-006</x:t>
  </x:si>
  <x:si>
    <x:t xml:space="preserve">Type R (FL5)</x:t>
  </x:si>
  <x:si>
    <x:t xml:space="preserve">B-CIV-007</x:t>
  </x:si>
  <x:si>
    <x:t xml:space="preserve">Sport Hybrid / Sport Touring Hybrid</x:t>
  </x:si>
  <x:si>
    <x:t xml:space="preserve">2.0L Atkinson + 2-motor hybrid</x:t>
  </x:si>
  <x:si>
    <x:t xml:space="preserve">Auxiliary (12V)</x:t>
  </x:si>
  <x:si>
    <x:t xml:space="preserve">Auxiliary battery (12V), lead-acid</x:t>
  </x:si>
  <x:si>
    <x:t xml:space="preserve">Lead-acid (flooded). ERG composition: lead 34%, lead peroxide 31%, lead sulfate 1%, sulfuric acid (35%) 34% [OEM - Honda ERG p.21]</x:t>
  </x:si>
  <x:si>
    <x:t xml:space="preserve">Not publicly verified (conventional 12V; likely shares the 11th-gen H5 platform battery)</x:t>
  </x:si>
  <x:si>
    <x:t xml:space="preserve">Group H5-class aftermarket if confirmed [verify by label]</x:t>
  </x:si>
  <x:si>
    <x:t xml:space="preserve">Not stated in ERG. H5-class assumed from platform - Not publicly verified</x:t>
  </x:si>
  <x:si>
    <x:t xml:space="preserve">45 Ah @ 20-hour rate (36 Ah @ 5-hour rate) [OEM - Honda ERG p.21]</x:t>
  </x:si>
  <x:si>
    <x:t xml:space="preserve">~540 Wh (calculated = 12 V x 45 Ah @20HR) [calculated from OEM Ah]</x:t>
  </x:si>
  <x:si>
    <x:t xml:space="preserve">Charged via DC-DC converter from the HV pack (not a belt alternator)</x:t>
  </x:si>
  <x:si>
    <x:t xml:space="preserve">Top, reverse (assumed) - unverified</x:t>
  </x:si>
  <x:si>
    <x:t xml:space="preserve">The 12V auxiliary is the ONLY in-scope serviceable battery on the hybrid. It does NOT crank a starter (the engine is started by the HV motor-generator) and it is charged by the DC-DC converter, not an alternator. ERG confirms it is a conventional lead-acid battery located under the hood ('12-Volt Battery Caution' label, engine bay).</x:t>
  </x:si>
  <x:si>
    <x:t xml:space="preserve">B-CIV-008</x:t>
  </x:si>
  <x:si>
    <x:t xml:space="preserve">Traction (high-voltage)</x:t>
  </x:si>
  <x:si>
    <x:t xml:space="preserve">Hybrid / traction battery (HIGH VOLTAGE)</x:t>
  </x:si>
  <x:si>
    <x:t xml:space="preserve">Lithium-ion [OEM / Honda ERG]</x:t>
  </x:si>
  <x:si>
    <x:t xml:space="preserve">HV pack assembly 1D100-6MC-A02 / -A03 [OEM]</x:t>
  </x:si>
  <x:si>
    <x:t xml:space="preserve">N/A (dealer/qualified service only; not an aftermarket retail part)</x:t>
  </x:si>
  <x:si>
    <x:t xml:space="preserve">N/A (traction battery)</x:t>
  </x:si>
  <x:si>
    <x:t xml:space="preserve">262 (HV pack - see HV fields)</x:t>
  </x:si>
  <x:si>
    <x:t xml:space="preserve">1.06 kWh total [Honda newsroom]</x:t>
  </x:si>
  <x:si>
    <x:t xml:space="preserve">N/A (high-voltage connectors; not user-serviceable)</x:t>
  </x:si>
  <x:si>
    <x:t xml:space="preserve">262 [OEM - Honda ERG pp.9,21]</x:t>
  </x:si>
  <x:si>
    <x:t xml:space="preserve">Lithium-ion. ERG composition: lithium metal oxide 15-25%, aluminum 20-30%, graphite 5-15%, copper 15-25%, organic electrolyte 15-25% (max volume 50 cc) [OEM - Honda ERG p.21]</x:t>
  </x:si>
  <x:si>
    <x:t xml:space="preserve">1.06 kWh [Honda newsroom]</x:t>
  </x:si>
  <x:si>
    <x:t xml:space="preserve">72 cells (36 cells x 2 modules) [OEM - Honda ERG p.21]</x:t>
  </x:si>
  <x:si>
    <x:t xml:space="preserve">Liquid-cooled - dedicated high-voltage battery coolant circuit, approx. 1.1 L (0.29 US gal), ethylene-glycol based [OEM - Honda ERG p.21]. Separate from the 7.4 L engine coolant circuit.</x:t>
  </x:si>
  <x:si>
    <x:t xml:space="preserve">High-voltage battery ECU opens the HV contactors on an SRS crash signal; system managed with the Power Control Unit (PCU) [OEM - Honda ERG p.38]. Detailed BMS parameters not published.</x:t>
  </x:si>
  <x:si>
    <x:t xml:space="preserve">1D100-6MC-A02 / -A03 [OEM]</x:t>
  </x:si>
  <x:si>
    <x:t xml:space="preserve">Not publicly verified (not covered in the ERG)</x:t>
  </x:si>
  <x:si>
    <x:t xml:space="preserve">★ has_hv_traction_system = TRUE -&gt; under plan section 17.4 this pack (and PCU/inverter, DC-DC, HV cabling, motor-generator) is SUPPRESSED from consumer results. Listed here for documentation only. NOT interchangeable with any gasoline Civic.</x:t>
  </x:si>
  <x:si>
    <x:t xml:space="preserve">B-PENDING</x:t>
  </x:si>
  <x:si>
    <x:t xml:space="preserve">PENDING - Honda Civic completed first, per instruction.</x:t>
  </x:si>
  <x:si>
    <x:t xml:space="preserve">source_row_key</x:t>
  </x:si>
  <x:si>
    <x:t xml:space="preserve">brand_aaia_id</x:t>
  </x:si>
  <x:si>
    <x:t xml:space="preserve">brand_name</x:t>
  </x:si>
  <x:si>
    <x:t xml:space="preserve">part_number</x:t>
  </x:si>
  <x:si>
    <x:t xml:space="preserve">part_number_normalized</x:t>
  </x:si>
  <x:si>
    <x:t xml:space="preserve">pcdb_part_terminology_id</x:t>
  </x:si>
  <x:si>
    <x:t xml:space="preserve">part_type_name</x:t>
  </x:si>
  <x:si>
    <x:t xml:space="preserve">is_oem</x:t>
  </x:si>
  <x:si>
    <x:t xml:space="preserve">oem_equivalent_number</x:t>
  </x:si>
  <x:si>
    <x:t xml:space="preserve">condition</x:t>
  </x:si>
  <x:si>
    <x:t xml:space="preserve">system_voltage</x:t>
  </x:si>
  <x:si>
    <x:t xml:space="preserve">attributes_json</x:t>
  </x:si>
  <x:si>
    <x:t xml:space="preserve">warranty_months</x:t>
  </x:si>
  <x:si>
    <x:t xml:space="preserve">core_charge_usd</x:t>
  </x:si>
  <x:si>
    <x:t xml:space="preserve">source_confidence</x:t>
  </x:si>
  <x:si>
    <x:t xml:space="preserve">R0001</x:t>
  </x:si>
  <x:si>
    <x:t xml:space="preserve">SMPL</x:t>
  </x:si>
  <x:si>
    <x:t xml:space="preserve">Sample Brand A</x:t>
  </x:si>
  <x:si>
    <x:t xml:space="preserve">SMPL-ALT-0001</x:t>
  </x:si>
  <x:si>
    <x:t xml:space="preserve">SMPLALT0001</x:t>
  </x:si>
  <x:si>
    <x:t xml:space="preserve">Alternator</x:t>
  </x:si>
  <x:si>
    <x:t xml:space="preserve">SMPL-OE-31100</x:t>
  </x:si>
  <x:si>
    <x:t xml:space="preserve">NEW</x:t>
  </x:si>
  <x:si>
    <x:t xml:space="preserve">{"rated_amps":130,"pulley_type":"CLUTCH","pulley_grooves":6,"connector_series":"SAMPLE_A","connector_pins":4,"clock_position":6,"rotation":"CW","regulator_type":"INTERNAL","mount_ear_count":2}</x:t>
  </x:si>
  <x:si>
    <x:t xml:space="preserve">CURATED</x:t>
  </x:si>
  <x:si>
    <x:t xml:space="preserve">R0002</x:t>
  </x:si>
  <x:si>
    <x:t xml:space="preserve">SMPL-ALT-0002</x:t>
  </x:si>
  <x:si>
    <x:t xml:space="preserve">SMPLALT0002</x:t>
  </x:si>
  <x:si>
    <x:t xml:space="preserve">SMPL-OE-FL200</x:t>
  </x:si>
  <x:si>
    <x:t xml:space="preserve">{"rated_amps":200,"pulley_type":"CLUTCH","pulley_grooves":6,"connector_series":"SAMPLE_B","connector_pins":3,"clock_position":9,"rotation":"CW","regulator_type":"EXTERNAL_PCM","mount_ear_count":2}</x:t>
  </x:si>
  <x:si>
    <x:t xml:space="preserve">R0003</x:t>
  </x:si>
  <x:si>
    <x:t xml:space="preserve">SMPL-ALT-0003</x:t>
  </x:si>
  <x:si>
    <x:t xml:space="preserve">SMPLALT0003</x:t>
  </x:si>
  <x:si>
    <x:t xml:space="preserve">SMPL-OE-FL150</x:t>
  </x:si>
  <x:si>
    <x:t xml:space="preserve">REMANUFACTURED</x:t>
  </x:si>
  <x:si>
    <x:t xml:space="preserve">{"rated_amps":150,"pulley_type":"CLUTCH","pulley_grooves":6,"connector_series":"SAMPLE_B","connector_pins":3,"clock_position":9,"rotation":"CW","regulator_type":"EXTERNAL_PCM","mount_ear_count":2}</x:t>
  </x:si>
  <x:si>
    <x:t xml:space="preserve">R0004</x:t>
  </x:si>
  <x:si>
    <x:t xml:space="preserve">SMP2</x:t>
  </x:si>
  <x:si>
    <x:t xml:space="preserve">Sample Brand B</x:t>
  </x:si>
  <x:si>
    <x:t xml:space="preserve">SMPL-ALT-9902</x:t>
  </x:si>
  <x:si>
    <x:t xml:space="preserve">SMPLALT9902</x:t>
  </x:si>
  <x:si>
    <x:t xml:space="preserve">R0005</x:t>
  </x:si>
  <x:si>
    <x:t xml:space="preserve">SMPL-BAT-0051R</x:t>
  </x:si>
  <x:si>
    <x:t xml:space="preserve">SMPLBAT0051R</x:t>
  </x:si>
  <x:si>
    <x:t xml:space="preserve">Battery</x:t>
  </x:si>
  <x:si>
    <x:t xml:space="preserve">{"bci_group_size":"51R","cca":410,"rc_minutes":60,"ah":44,"terminal_type":"SAE_POST","terminal_position":"REVERSED","chemistry":"FLOODED","length_mm":238,"width_mm":129,"height_mm":227,"hold_down_type":"BASE_LEDGE"}</x:t>
  </x:si>
  <x:si>
    <x:t xml:space="preserve">R0006</x:t>
  </x:si>
  <x:si>
    <x:t xml:space="preserve">SMPL-BAT-0051</x:t>
  </x:si>
  <x:si>
    <x:t xml:space="preserve">SMPLBAT0051</x:t>
  </x:si>
  <x:si>
    <x:t xml:space="preserve">{"bci_group_size":"51","cca":410,"rc_minutes":60,"ah":44,"terminal_type":"SAE_POST","terminal_position":"STANDARD","chemistry":"FLOODED","length_mm":238,"width_mm":129,"height_mm":227,"hold_down_type":"BASE_LEDGE"}</x:t>
  </x:si>
  <x:si>
    <x:t xml:space="preserve">R0007</x:t>
  </x:si>
  <x:si>
    <x:t xml:space="preserve">SMPL-BAT-0065</x:t>
  </x:si>
  <x:si>
    <x:t xml:space="preserve">SMPLBAT0065</x:t>
  </x:si>
  <x:si>
    <x:t xml:space="preserve">{"bci_group_size":"65","cca":750,"rc_minutes":140,"ah":72,"terminal_type":"SAE_POST","terminal_position":"STANDARD","chemistry":"AGM","length_mm":306,"width_mm":192,"height_mm":192,"hold_down_type":"BASE_LEDGE"}</x:t>
  </x:si>
  <x:si>
    <x:t xml:space="preserve">R0008</x:t>
  </x:si>
  <x:si>
    <x:t xml:space="preserve">SMPL-STR-0101</x:t>
  </x:si>
  <x:si>
    <x:t xml:space="preserve">SMPLSTR0101</x:t>
  </x:si>
  <x:si>
    <x:t xml:space="preserve">Starter Motor</x:t>
  </x:si>
  <x:si>
    <x:t xml:space="preserve">{"kw_rating":1.4,"tooth_count":13,"rotation":"CW","solenoid_position":"TOP","mount_bolt_count":2,"connector_pins":2}</x:t>
  </x:si>
  <x:si>
    <x:t xml:space="preserve">R0009</x:t>
  </x:si>
  <x:si>
    <x:t xml:space="preserve">SMPL-FUS-020</x:t>
  </x:si>
  <x:si>
    <x:t xml:space="preserve">SMPLFUS020</x:t>
  </x:si>
  <x:si>
    <x:t xml:space="preserve">Fuse</x:t>
  </x:si>
  <x:si>
    <x:t xml:space="preserve">{"amp_rating":20,"fuse_body":"ATO","color_code":"YELLOW","voltage_rating":32,"is_time_delay":false}</x:t>
  </x:si>
  <x:si>
    <x:t xml:space="preserve">R0010</x:t>
  </x:si>
  <x:si>
    <x:t xml:space="preserve">SMPL-FUS-030</x:t>
  </x:si>
  <x:si>
    <x:t xml:space="preserve">SMPLFUS030</x:t>
  </x:si>
  <x:si>
    <x:t xml:space="preserve">{"amp_rating":30,"fuse_body":"ATO","color_code":"GREEN","voltage_rating":32,"is_time_delay":false}</x:t>
  </x:si>
  <x:si>
    <x:t xml:space="preserve">R0011</x:t>
  </x:si>
  <x:si>
    <x:t xml:space="preserve">SMPL-REL-4P12</x:t>
  </x:si>
  <x:si>
    <x:t xml:space="preserve">SMPLREL4P12</x:t>
  </x:si>
  <x:si>
    <x:t xml:space="preserve">Relay</x:t>
  </x:si>
  <x:si>
    <x:t xml:space="preserve">{"pin_count":4,"coil_voltage":12,"contact_type":"SPST_NO","contact_amps":30,"has_resistor":false}</x:t>
  </x:si>
  <x:si>
    <x:t xml:space="preserve">R0012</x:t>
  </x:si>
  <x:si>
    <x:t xml:space="preserve">SMPL-O2S-U101</x:t>
  </x:si>
  <x:si>
    <x:t xml:space="preserve">SMPLO2SU101</x:t>
  </x:si>
  <x:si>
    <x:t xml:space="preserve">Oxygen Sensor</x:t>
  </x:si>
  <x:si>
    <x:t xml:space="preserve">{"connector_pins":4,"wire_length_mm":350,"thread_pitch":"M18x1.5","sensor_type":"HEATED_ZIRCONIA","heater_current_a":1.2}</x:t>
  </x:si>
  <x:si>
    <x:t xml:space="preserve">R0013</x:t>
  </x:si>
  <x:si>
    <x:t xml:space="preserve">SMPL-CKP-0077</x:t>
  </x:si>
  <x:si>
    <x:t xml:space="preserve">SMPLCKP0077</x:t>
  </x:si>
  <x:si>
    <x:t xml:space="preserve">Crankshaft Position Sensor</x:t>
  </x:si>
  <x:si>
    <x:t xml:space="preserve">{"connector_pins":3,"signal_type":"HALL_EFFECT","supply_voltage":5,"mount_bolt_count":1}</x:t>
  </x:si>
  <x:si>
    <x:t xml:space="preserve">R0014</x:t>
  </x:si>
  <x:si>
    <x:t xml:space="preserve">SMPL-COI-0231</x:t>
  </x:si>
  <x:si>
    <x:t xml:space="preserve">SMPLCOI0231</x:t>
  </x:si>
  <x:si>
    <x:t xml:space="preserve">Ignition Coil</x:t>
  </x:si>
  <x:si>
    <x:t xml:space="preserve">{"connector_pins":3,"coil_type":"COIL_ON_PLUG","primary_resistance_ohm":0.6,"boot_length_mm":78}</x:t>
  </x:si>
  <x:si>
    <x:t xml:space="preserve">R0015</x:t>
  </x:si>
  <x:si>
    <x:t xml:space="preserve">SMPL-HLB-H11</x:t>
  </x:si>
  <x:si>
    <x:t xml:space="preserve">SMPLHLBH11</x:t>
  </x:si>
  <x:si>
    <x:t xml:space="preserve">Headlight Bulb</x:t>
  </x:si>
  <x:si>
    <x:t xml:space="preserve">{"base_type":"H11","wattage":55,"lumens":1350,"color_temp_k":3200,"technology":"HALOGEN"}</x:t>
  </x:si>
  <x:si>
    <x:t xml:space="preserve">R0016</x:t>
  </x:si>
  <x:si>
    <x:t xml:space="preserve">SMPL-HLB-H11-LED</x:t>
  </x:si>
  <x:si>
    <x:t xml:space="preserve">SMPLHLBH11LED</x:t>
  </x:si>
  <x:si>
    <x:t xml:space="preserve">{"base_type":"H11","wattage":24,"lumens":4000,"color_temp_k":6000,"technology":"LED","canbus_compatible":false}</x:t>
  </x:si>
  <x:si>
    <x:t xml:space="preserve">R0017</x:t>
  </x:si>
  <x:si>
    <x:t xml:space="preserve">SMPL-CBL-NEG01</x:t>
  </x:si>
  <x:si>
    <x:t xml:space="preserve">SMPLCBLNEG01</x:t>
  </x:si>
  <x:si>
    <x:t xml:space="preserve">Battery Cable</x:t>
  </x:si>
  <x:si>
    <x:t xml:space="preserve">{"polarity":"NEGATIVE","gauge_awg":4,"length_mm":610,"terminal_type":"SAE_POST","end_type":"RING_8MM"}</x:t>
  </x:si>
  <x:si>
    <x:t xml:space="preserve">R0018</x:t>
  </x:si>
  <x:si>
    <x:t xml:space="preserve">SMPL-ISW-0012</x:t>
  </x:si>
  <x:si>
    <x:t xml:space="preserve">SMPLISW0012</x:t>
  </x:si>
  <x:si>
    <x:t xml:space="preserve">Ignition Switch</x:t>
  </x:si>
  <x:si>
    <x:t xml:space="preserve">{"connector_pins":6,"position_count":4,"has_immobilizer_ring":true}</x:t>
  </x:si>
  <x:si>
    <x:t xml:space="preserve">fitment_key</x:t>
  </x:si>
  <x:si>
    <x:t xml:space="preserve">qualifier_json</x:t>
  </x:si>
  <x:si>
    <x:t xml:space="preserve">position</x:t>
  </x:si>
  <x:si>
    <x:t xml:space="preserve">quantity_required</x:t>
  </x:si>
  <x:si>
    <x:t xml:space="preserve">confidence_tier</x:t>
  </x:si>
  <x:si>
    <x:t xml:space="preserve">reason_codes</x:t>
  </x:si>
  <x:si>
    <x:t xml:space="preserve">fit_note</x:t>
  </x:si>
  <x:si>
    <x:t xml:space="preserve">evidence_url</x:t>
  </x:si>
  <x:si>
    <x:t xml:space="preserve">verified_by</x:t>
  </x:si>
  <x:si>
    <x:t xml:space="preserve">valid_from</x:t>
  </x:si>
  <x:si>
    <x:t xml:space="preserve">valid_to</x:t>
  </x:si>
  <x:si>
    <x:t xml:space="preserve">FK0001</x:t>
  </x:si>
  <x:si>
    <x:t xml:space="preserve">{"engine_liters":2.0}</x:t>
  </x:si>
  <x:si>
    <x:t xml:space="preserve">EXAMPLE ROW — base charging system, 130A</x:t>
  </x:si>
  <x:si>
    <x:t xml:space="preserve">https://example.invalid/oe/0001</x:t>
  </x:si>
  <x:si>
    <x:t xml:space="preserve">SYNTHETIC</x:t>
  </x:si>
  <x:si>
    <x:t xml:space="preserve">FK0002</x:t>
  </x:si>
  <x:si>
    <x:t xml:space="preserve">{"engine_liters":5.0,"option_code":"TOW_PKG"}</x:t>
  </x:si>
  <x:si>
    <x:t xml:space="preserve">★ Tow package ONLY — 200A. The VIN does not decode this.</x:t>
  </x:si>
  <x:si>
    <x:t xml:space="preserve">https://example.invalid/oe/0002</x:t>
  </x:si>
  <x:si>
    <x:t xml:space="preserve">FK0003</x:t>
  </x:si>
  <x:si>
    <x:t xml:space="preserve">{"engine_liters":5.0,"option_code":"!TOW_PKG"}</x:t>
  </x:si>
  <x:si>
    <x:t xml:space="preserve">★ WITHOUT tow package — 150A. Negation makes the pair exhaustive + non-overlapping.</x:t>
  </x:si>
  <x:si>
    <x:t xml:space="preserve">https://example.invalid/oe/0003</x:t>
  </x:si>
  <x:si>
    <x:t xml:space="preserve">FK0004</x:t>
  </x:si>
  <x:si>
    <x:t xml:space="preserve">SPEC_DOWNGRADE_AMPS;CROSSREF_ONLY</x:t>
  </x:si>
  <x:si>
    <x:t xml:space="preserve">150A part cross-referenced to a 200A application → WARN, tier capped at C</x:t>
  </x:si>
  <x:si>
    <x:t xml:space="preserve">FK0005</x:t>
  </x:si>
  <x:si>
    <x:t xml:space="preserve">{}</x:t>
  </x:si>
  <x:si>
    <x:t xml:space="preserve">Group 51R — REVERSED terminals</x:t>
  </x:si>
  <x:si>
    <x:t xml:space="preserve">https://example.invalid/oe/0005</x:t>
  </x:si>
  <x:si>
    <x:t xml:space="preserve">FK0006</x:t>
  </x:si>
  <x:si>
    <x:t xml:space="preserve">Group 65 AGM</x:t>
  </x:si>
  <x:si>
    <x:t xml:space="preserve">https://example.invalid/oe/0006</x:t>
  </x:si>
  <x:si>
    <x:t xml:space="preserve">FK0007</x:t>
  </x:si>
  <x:si>
    <x:t xml:space="preserve">{"option_code":"AGM_BATT"}</x:t>
  </x:si>
  <x:si>
    <x:t xml:space="preserve">REGISTRATION_REQUIRED</x:t>
  </x:si>
  <x:si>
    <x:t xml:space="preserve">AGM must be registered to the BCM on this platform → UC-6 warning</x:t>
  </x:si>
  <x:si>
    <x:t xml:space="preserve">https://example.invalid/oe/0007</x:t>
  </x:si>
  <x:si>
    <x:t xml:space="preserve">FK0008</x:t>
  </x:si>
  <x:si>
    <x:t xml:space="preserve">{"circuit":"CIGAR_LIGHTER"}</x:t>
  </x:si>
  <x:si>
    <x:t xml:space="preserve">★ Trim-independent → base_vehicle, not vehicle. Avoids ~40 duplicate rows per fuse.</x:t>
  </x:si>
  <x:si>
    <x:t xml:space="preserve">https://example.invalid/oe/0008</x:t>
  </x:si>
  <x:si>
    <x:t xml:space="preserve">FK0009</x:t>
  </x:si>
  <x:si>
    <x:t xml:space="preserve">{"engine_liters":2.5}</x:t>
  </x:si>
  <x:si>
    <x:t xml:space="preserve">★ quantity_required = 4 (coil-on-plug, one per cylinder). A 2-column join cannot express this.</x:t>
  </x:si>
  <x:si>
    <x:t xml:space="preserve">https://example.invalid/oe/0009</x:t>
  </x:si>
  <x:si>
    <x:t xml:space="preserve">FK0010</x:t>
  </x:si>
  <x:si>
    <x:t xml:space="preserve">UPSTREAM</x:t>
  </x:si>
  <x:si>
    <x:t xml:space="preserve">★ position matters — upstream ≠ downstream sensor</x:t>
  </x:si>
  <x:si>
    <x:t xml:space="preserve">https://example.invalid/oe/0010</x:t>
  </x:si>
  <x:si>
    <x:t xml:space="preserve">FK0011</x:t>
  </x:si>
  <x:si>
    <x:t xml:space="preserve">https://example.invalid/oe/0011</x:t>
  </x:si>
  <x:si>
    <x:t xml:space="preserve">FK0012</x:t>
  </x:si>
  <x:si>
    <x:t xml:space="preserve">LOW_BEAM</x:t>
  </x:si>
  <x:si>
    <x:t xml:space="preserve">quantity 2 — one per side</x:t>
  </x:si>
  <x:si>
    <x:t xml:space="preserve">https://example.invalid/oe/0012</x:t>
  </x:si>
  <x:si>
    <x:t xml:space="preserve">FK0013</x:t>
  </x:si>
  <x:si>
    <x:t xml:space="preserve">NEEDS_OPTION:CANBUS;NOT_DOT_COMPLIANT</x:t>
  </x:si>
  <x:si>
    <x:t xml:space="preserve">LED retrofit — may trigger a bulb-out warning; not a DOT-compliant housing</x:t>
  </x:si>
  <x:si>
    <x:t xml:space="preserve">FK0014</x:t>
  </x:si>
  <x:si>
    <x:t xml:space="preserve">{"engine_liters":1.5}</x:t>
  </x:si>
  <x:si>
    <x:t xml:space="preserve">NEEDS_OPTION:ENGINE_CONFIRM</x:t>
  </x:si>
  <x:si>
    <x:t xml:space="preserve">Same base vehicle, 1.5T engine — unverified, awaiting SME</x:t>
  </x:si>
  <x:si>
    <x:t xml:space="preserve">FK0015</x:t>
  </x:si>
  <x:si>
    <x:t xml:space="preserve">https://example.invalid/oe/0015</x:t>
  </x:si>
  <x:si>
    <x:t xml:space="preserve">FK0016</x:t>
  </x:si>
  <x:si>
    <x:t xml:space="preserve">SUPERSEDED</x:t>
  </x:si>
  <x:si>
    <x:t xml:space="preserve">Prior revision — closed out when the 2026-06 ACES feed landed</x:t>
  </x:si>
  <x:si>
    <x:t xml:space="preserve">reason_code</x:t>
  </x:si>
  <x:si>
    <x:t xml:space="preserve">reason</x:t>
  </x:si>
  <x:si>
    <x:t xml:space="preserve">created_by</x:t>
  </x:si>
  <x:si>
    <x:t xml:space="preserve">TERMINAL_POSITION_MISMATCH</x:t>
  </x:si>
  <x:si>
    <x:t xml:space="preserve">★ Group 51 (standard terminals) will NOT fit where 51R (reversed) is required. Same size, same CCA — the cables will not reach. Hard DROP, never a warning.</x:t>
  </x:si>
  <x:si>
    <x:t xml:space="preserve">FUSE_RATING_MISMATCH</x:t>
  </x:si>
  <x:si>
    <x:t xml:space="preserve">★ 30A fuse in a 20A circuit. NO OVERRIDE EXISTS — not for pros, not for admins. This is the one rule that can burn a car down (Plan §13.2).</x:t>
  </x:si>
  <x:si>
    <x:t xml:space="preserve">CONNECTOR_MISMATCH</x:t>
  </x:si>
  <x:si>
    <x:t xml:space="preserve">SAMPLE_B 3-pin connector will not mate with the SAMPLE_A 4-pin harness. Physically cannot connect.</x:t>
  </x:si>
  <x:si>
    <x:t xml:space="preserve">DIMENSION_MISMATCH</x:t>
  </x:si>
  <x:si>
    <x:t xml:space="preserve">Group 65 (306mm) will not fit a tray sized for Group 51 (238mm).</x:t>
  </x:si>
  <x:si>
    <x:t xml:space="preserve">HV_CATEGORY_SUPPRESSED</x:t>
  </x:si>
  <x:si>
    <x:t xml:space="preserve">Illustrates the §17.4 gate: vehicle 910004 has has_hv_traction_system=TRUE. HV-set categories return zero results regardless of any fitment row.</x:t>
  </x:si>
  <x:si>
    <x:t xml:space="preserve">WHY THIS TABLE EXISTS</x:t>
  </x:si>
  <x:si>
    <x:t xml:space="preserve">The absence of a fitment record means UNKNOWN. It does not mean NO. Conflating those two is how a system hides its own gaps behind an empty state. Explicit negatives let us DROP a part with a reason the user can read — and let QA assert that a known-bad pairing never appears. Plan DB4 / §13.1 Step 4.</x:t>
  </x:si>
  <x:si>
    <x:t xml:space="preserve">SUPPLIERS</x:t>
  </x:si>
  <x:si>
    <x:t xml:space="preserve">supplier_id</x:t>
  </x:si>
  <x:si>
    <x:t xml:space="preserve">supplier_name</x:t>
  </x:si>
  <x:si>
    <x:t xml:space="preserve">supplier_type</x:t>
  </x:si>
  <x:si>
    <x:t xml:space="preserve">data_access_method</x:t>
  </x:si>
  <x:si>
    <x:t xml:space="preserve">agreement_status</x:t>
  </x:si>
  <x:si>
    <x:t xml:space="preserve">attribution_required</x:t>
  </x:si>
  <x:si>
    <x:t xml:space="preserve">attribution_text</x:t>
  </x:si>
  <x:si>
    <x:t xml:space="preserve">license_id</x:t>
  </x:si>
  <x:si>
    <x:t xml:space="preserve">Sample Retail Chain A</x:t>
  </x:si>
  <x:si>
    <x:t xml:space="preserve">RETAIL_CHAIN</x:t>
  </x:si>
  <x:si>
    <x:t xml:space="preserve">AFFILIATE_FEED</x:t>
  </x:si>
  <x:si>
    <x:t xml:space="preserve">ACTIVE</x:t>
  </x:si>
  <x:si>
    <x:t xml:space="preserve">Pricing and availability provided by Sample Retail Chain A</x:t>
  </x:si>
  <x:si>
    <x:t xml:space="preserve">Sample Retail Chain B</x:t>
  </x:si>
  <x:si>
    <x:t xml:space="preserve">MANUAL</x:t>
  </x:si>
  <x:si>
    <x:t xml:space="preserve">NONE</x:t>
  </x:si>
  <x:si>
    <x:t xml:space="preserve">Sample Dealer C</x:t>
  </x:si>
  <x:si>
    <x:t xml:space="preserve">DEALER</x:t>
  </x:si>
  <x:si>
    <x:t xml:space="preserve">Sample Recycler D</x:t>
  </x:si>
  <x:si>
    <x:t xml:space="preserve">RECYCLER</x:t>
  </x:si>
  <x:si>
    <x:t xml:space="preserve">USER_REPORTED</x:t>
  </x:si>
  <x:si>
    <x:t xml:space="preserve">Sample Online E</x:t>
  </x:si>
  <x:si>
    <x:t xml:space="preserve">ONLINE</x:t>
  </x:si>
  <x:si>
    <x:t xml:space="preserve">As an affiliate we may earn a commission on qualifying purchases</x:t>
  </x:si>
  <x:si>
    <x:t xml:space="preserve">Sample Shop F (pilot)</x:t>
  </x:si>
  <x:si>
    <x:t xml:space="preserve">SHOP</x:t>
  </x:si>
  <x:si>
    <x:t xml:space="preserve">PARTNER_API</x:t>
  </x:si>
  <x:si>
    <x:t xml:space="preserve">PILOT_LOI</x:t>
  </x:si>
  <x:si>
    <x:t xml:space="preserve">STORES</x:t>
  </x:si>
  <x:si>
    <x:t xml:space="preserve">store_id</x:t>
  </x:si>
  <x:si>
    <x:t xml:space="preserve">store_code</x:t>
  </x:si>
  <x:si>
    <x:t xml:space="preserve">name</x:t>
  </x:si>
  <x:si>
    <x:t xml:space="preserve">city</x:t>
  </x:si>
  <x:si>
    <x:t xml:space="preserve">state</x:t>
  </x:si>
  <x:si>
    <x:t xml:space="preserve">postal_code</x:t>
  </x:si>
  <x:si>
    <x:t xml:space="preserve">latitude</x:t>
  </x:si>
  <x:si>
    <x:t xml:space="preserve">longitude</x:t>
  </x:si>
  <x:si>
    <x:t xml:space="preserve">geohash_7</x:t>
  </x:si>
  <x:si>
    <x:t xml:space="preserve">offers_pickup</x:t>
  </x:si>
  <x:si>
    <x:t xml:space="preserve">offers_free_testing</x:t>
  </x:si>
  <x:si>
    <x:t xml:space="preserve">is_active</x:t>
  </x:si>
  <x:si>
    <x:t xml:space="preserve">last_verified_at</x:t>
  </x:si>
  <x:si>
    <x:t xml:space="preserve">HOU-0142</x:t>
  </x:si>
  <x:si>
    <x:t xml:space="preserve">Sample Retail Chain A — Midtown</x:t>
  </x:si>
  <x:si>
    <x:t xml:space="preserve">Houston</x:t>
  </x:si>
  <x:si>
    <x:t xml:space="preserve">TX</x:t>
  </x:si>
  <x:si>
    <x:t xml:space="preserve">77002</x:t>
  </x:si>
  <x:si>
    <x:t xml:space="preserve">9vk1s0h</x:t>
  </x:si>
  <x:si>
    <x:t xml:space="preserve">KTY-0007</x:t>
  </x:si>
  <x:si>
    <x:t xml:space="preserve">Sample Retail Chain B — Katy</x:t>
  </x:si>
  <x:si>
    <x:t xml:space="preserve">Katy</x:t>
  </x:si>
  <x:si>
    <x:t xml:space="preserve">77494</x:t>
  </x:si>
  <x:si>
    <x:t xml:space="preserve">9vk0h2p</x:t>
  </x:si>
  <x:si>
    <x:t xml:space="preserve">SL-DEALER</x:t>
  </x:si>
  <x:si>
    <x:t xml:space="preserve">Sample Dealer C — Sugar Land</x:t>
  </x:si>
  <x:si>
    <x:t xml:space="preserve">Sugar Land</x:t>
  </x:si>
  <x:si>
    <x:t xml:space="preserve">77478</x:t>
  </x:si>
  <x:si>
    <x:t xml:space="preserve">9vk0dbc</x:t>
  </x:si>
  <x:si>
    <x:t xml:space="preserve">PAS-YARD</x:t>
  </x:si>
  <x:si>
    <x:t xml:space="preserve">Sample Recycler D — Pasadena</x:t>
  </x:si>
  <x:si>
    <x:t xml:space="preserve">Pasadena</x:t>
  </x:si>
  <x:si>
    <x:t xml:space="preserve">77503</x:t>
  </x:si>
  <x:si>
    <x:t xml:space="preserve">9vk3jm4</x:t>
  </x:si>
  <x:si>
    <x:t xml:space="preserve">Sample Online E — DC Fulfillment</x:t>
  </x:si>
  <x:si>
    <x:t xml:space="preserve">INVENTORY OBSERVATIONS  —  APPEND ONLY.  This is a log, not a state table.</x:t>
  </x:si>
  <x:si>
    <x:t xml:space="preserve">observation_id</x:t>
  </x:si>
  <x:si>
    <x:t xml:space="preserve">availability_bucket</x:t>
  </x:si>
  <x:si>
    <x:t xml:space="preserve">qty_exact</x:t>
  </x:si>
  <x:si>
    <x:t xml:space="preserve">observed_at</x:t>
  </x:si>
  <x:si>
    <x:t xml:space="preserve">source_method</x:t>
  </x:si>
  <x:si>
    <x:t xml:space="preserve">observer_id</x:t>
  </x:si>
  <x:si>
    <x:t xml:space="preserve">ttl_minutes</x:t>
  </x:si>
  <x:si>
    <x:t xml:space="preserve">OBS-0001</x:t>
  </x:si>
  <x:si>
    <x:t xml:space="preserve">IN_STOCK</x:t>
  </x:si>
  <x:si>
    <x:t xml:space="preserve">partstech-pilot</x:t>
  </x:si>
  <x:si>
    <x:t xml:space="preserve">OBS-0002</x:t>
  </x:si>
  <x:si>
    <x:t xml:space="preserve">LOW_STOCK</x:t>
  </x:si>
  <x:si>
    <x:t xml:space="preserve">MANUAL_CALL</x:t>
  </x:si>
  <x:si>
    <x:t xml:space="preserve">SME-JR</x:t>
  </x:si>
  <x:si>
    <x:t xml:space="preserve">OBS-0003</x:t>
  </x:si>
  <x:si>
    <x:t xml:space="preserve">SPECIAL_ORDER</x:t>
  </x:si>
  <x:si>
    <x:t xml:space="preserve">OBS-0004</x:t>
  </x:si>
  <x:si>
    <x:t xml:space="preserve">USER_REPORT</x:t>
  </x:si>
  <x:si>
    <x:t xml:space="preserve">user:8871</x:t>
  </x:si>
  <x:si>
    <x:t xml:space="preserve">OBS-0005</x:t>
  </x:si>
  <x:si>
    <x:t xml:space="preserve">UNKNOWN</x:t>
  </x:si>
  <x:si>
    <x:t xml:space="preserve">feed:chainE</x:t>
  </x:si>
  <x:si>
    <x:t xml:space="preserve">OBS-0006</x:t>
  </x:si>
  <x:si>
    <x:t xml:space="preserve">OBS-0007</x:t>
  </x:si>
  <x:si>
    <x:t xml:space="preserve">OUT_OF_STOCK</x:t>
  </x:si>
  <x:si>
    <x:t xml:space="preserve">PRICE OBSERVATIONS  —  APPEND ONLY.  A price is an observation with a source and a timestamp, never a fact.</x:t>
  </x:si>
  <x:si>
    <x:t xml:space="preserve">price_id</x:t>
  </x:si>
  <x:si>
    <x:t xml:space="preserve">price_usd</x:t>
  </x:si>
  <x:si>
    <x:t xml:space="preserve">price_type</x:t>
  </x:si>
  <x:si>
    <x:t xml:space="preserve">affiliate_url</x:t>
  </x:si>
  <x:si>
    <x:t xml:space="preserve">in_store_pickup</x:t>
  </x:si>
  <x:si>
    <x:t xml:space="preserve">est_ship_days</x:t>
  </x:si>
  <x:si>
    <x:t xml:space="preserve">PRC-0001</x:t>
  </x:si>
  <x:si>
    <x:t xml:space="preserve">RETAIL</x:t>
  </x:si>
  <x:si>
    <x:t xml:space="preserve">https://example.invalid/a?sku=0002&amp;aff=voltmap</x:t>
  </x:si>
  <x:si>
    <x:t xml:space="preserve">PRC-0002</x:t>
  </x:si>
  <x:si>
    <x:t xml:space="preserve">PRC-0003</x:t>
  </x:si>
  <x:si>
    <x:t xml:space="preserve">PRC-0004</x:t>
  </x:si>
  <x:si>
    <x:t xml:space="preserve">PRC-0005</x:t>
  </x:si>
  <x:si>
    <x:t xml:space="preserve">SALE</x:t>
  </x:si>
  <x:si>
    <x:t xml:space="preserve">https://example.invalid/e?sku=0002&amp;aff=voltmap</x:t>
  </x:si>
  <x:si>
    <x:t xml:space="preserve">LIVE RANKING DEMO — Plan §14.4 (freshness) + §14.5 (ranking), traced end to end</x:t>
  </x:si>
  <x:si>
    <x:t xml:space="preserve">Query: 'Who near me has SMPL-ALT-0002 (200A alternator) for my 2020 F-150 XLT 5.0L with the tow package?'  Every black cell is a formula. Change a blue weight and watch the order change.</x:t>
  </x:si>
  <x:si>
    <x:t xml:space="preserve">ASSUMPTIONS  (blue = input — challenge these)</x:t>
  </x:si>
  <x:si>
    <x:t xml:space="preserve">BUCKET SCORE</x:t>
  </x:si>
  <x:si>
    <x:t xml:space="preserve">SOURCE RELIABILITY</x:t>
  </x:si>
  <x:si>
    <x:t xml:space="preserve">As-of timestamp</x:t>
  </x:si>
  <x:si>
    <x:t xml:space="preserve">w1  availability_certainty</x:t>
  </x:si>
  <x:si>
    <x:t xml:space="preserve">← weights must sum to 1.00</x:t>
  </x:si>
  <x:si>
    <x:t xml:space="preserve">w2  pickup_speed</x:t>
  </x:si>
  <x:si>
    <x:t xml:space="preserve">w3  price_percentile</x:t>
  </x:si>
  <x:si>
    <x:t xml:space="preserve">w4  proximity</x:t>
  </x:si>
  <x:si>
    <x:t xml:space="preserve">INFERRED</x:t>
  </x:si>
  <x:si>
    <x:t xml:space="preserve">w5  store_reliability</x:t>
  </x:si>
  <x:si>
    <x:t xml:space="preserve">AFFILIATE COMMISSION IS NOT AN INPUT TO THIS FUNCTION. Not a tiebreaker, not a thumb. There is no cell for it — by design (Plan §14.6).</x:t>
  </x:si>
  <x:si>
    <x:t xml:space="preserve">store</x:t>
  </x:si>
  <x:si>
    <x:t xml:space="preserve">bucket (raw)</x:t>
  </x:si>
  <x:si>
    <x:t xml:space="preserve">ttl_min</x:t>
  </x:si>
  <x:si>
    <x:t xml:space="preserve">age_hrs</x:t>
  </x:si>
  <x:si>
    <x:t xml:space="preserve">freshness_wt</x:t>
  </x:si>
  <x:si>
    <x:t xml:space="preserve">DISPLAY bucket</x:t>
  </x:si>
  <x:si>
    <x:t xml:space="preserve">bucket_score</x:t>
  </x:si>
  <x:si>
    <x:t xml:space="preserve">src_reliab</x:t>
  </x:si>
  <x:si>
    <x:t xml:space="preserve">avail_certainty</x:t>
  </x:si>
  <x:si>
    <x:t xml:space="preserve">pickup_days</x:t>
  </x:si>
  <x:si>
    <x:t xml:space="preserve">pickup_speed</x:t>
  </x:si>
  <x:si>
    <x:t xml:space="preserve">price</x:t>
  </x:si>
  <x:si>
    <x:t xml:space="preserve">core</x:t>
  </x:si>
  <x:si>
    <x:t xml:space="preserve">total_cost</x:t>
  </x:si>
  <x:si>
    <x:t xml:space="preserve">price_pctile</x:t>
  </x:si>
  <x:si>
    <x:t xml:space="preserve">drive_min</x:t>
  </x:si>
  <x:si>
    <x:t xml:space="preserve">proximity</x:t>
  </x:si>
  <x:si>
    <x:t xml:space="preserve">store_reliab</x:t>
  </x:si>
  <x:si>
    <x:t xml:space="preserve">SCORE</x:t>
  </x:si>
  <x:si>
    <x:t xml:space="preserve">RANK</x:t>
  </x:si>
  <x:si>
    <x:t xml:space="preserve">Retail Chain A — Midtown</x:t>
  </x:si>
  <x:si>
    <x:t xml:space="preserve">Retail Chain B — Katy</x:t>
  </x:si>
  <x:si>
    <x:t xml:space="preserve">Dealer C — Sugar Land</x:t>
  </x:si>
  <x:si>
    <x:t xml:space="preserve">Recycler D — Pasadena</x:t>
  </x:si>
  <x:si>
    <x:t xml:space="preserve">Online E — ships</x:t>
  </x:si>
  <x:si>
    <x:t xml:space="preserve">READ THIS GRID LEFT TO RIGHT AND THE WHOLE §14 DESIGN IS VISIBLE:</x:t>
  </x:si>
  <x:si>
    <x:t xml:space="preserve">•</x:t>
  </x:si>
  <x:si>
    <x:t xml:space="preserve">Row 19 (Recycler D) — the row that proves the point. The raw data says IN_STOCK at $75, by far the cheapest. But it is a USER_REPORT with a 48h TTL, observed ~49 hours ago, just past its 48-hour TTL. Column G drops its freshness weight to 0.3, and column H therefore OVERRIDES the displayed bucket to UNKNOWN → 'Typically stocked · call to confirm.' The freshness policy beats the data. That is the design.</x:t>
  </x:si>
  <x:si>
    <x:t xml:space="preserve">Column H feeds column I, not column B. We deliberately score the bucket we are willing to SHOW, not the bucket we were told. A system that ranks on data it won't display is a system that will eventually display it.</x:t>
  </x:si>
  <x:si>
    <x:t xml:space="preserve">Column S uses drive TIME, not straight-line distance. In Houston 8 miles is 12 minutes or 45. Straight-line distance is actively misleading here — which is why this costs Distance Matrix calls and why we cache them hard.</x:t>
  </x:si>
  <x:si>
    <x:t xml:space="preserve">Column T (store_reliability) is the sleeper. Every user report and every SME call tells us whether a store's claimed stock was real. After six months we know which stores lie. No competitor can compute this, because no competitor is source-neutral. It compounds. It is the second half of the moat.</x:t>
  </x:si>
  <x:si>
    <x:t xml:space="preserve">There is no commission column. On purpose. §14.6 is an engineering constraint — the ranker does not RECEIVE commission data — rather than a policy, because policies erode under revenue pressure and constraints do not.</x:t>
  </x:si>
  <x:si>
    <x:t xml:space="preserve">THE 10 WAYS EXCEL SILENTLY CORRUPTS PARTS DATA</x:t>
  </x:si>
  <x:si>
    <x:t xml:space="preserve">Not hypothetical. Every one of these will happen in the first month of curation. This is why every part-number column in this workbook is formatted as TEXT and why ingest reads with dtype=str.</x:t>
  </x:si>
  <x:si>
    <x:t xml:space="preserve">#</x:t>
  </x:si>
  <x:si>
    <x:t xml:space="preserve">Hazard</x:t>
  </x:si>
  <x:si>
    <x:t xml:space="preserve">What Excel does</x:t>
  </x:si>
  <x:si>
    <x:t xml:space="preserve">Damage</x:t>
  </x:si>
  <x:si>
    <x:t xml:space="preserve">Control (Plan §5.4)</x:t>
  </x:si>
  <x:si>
    <x:t xml:space="preserve">H1</x:t>
  </x:si>
  <x:si>
    <x:t xml:space="preserve">Leading zeros</x:t>
  </x:si>
  <x:si>
    <x:t xml:space="preserve">0280155868 → 280155868</x:t>
  </x:si>
  <x:si>
    <x:t xml:space="preserve">Part number silently corrupted. Unrecoverable without the original file.</x:t>
  </x:si>
  <x:si>
    <x:t xml:space="preserve">Text-formatted column + ingest reads dtype=str, keep_default_na=False. Reject any numeric dtype in a part-number column.</x:t>
  </x:si>
  <x:si>
    <x:t xml:space="preserve">H2</x:t>
  </x:si>
  <x:si>
    <x:t xml:space="preserve">Scientific notation</x:t>
  </x:si>
  <x:si>
    <x:t xml:space="preserve">12345678901234 → 1.23457E+13</x:t>
  </x:si>
  <x:si>
    <x:t xml:space="preserve">Long numbers destroyed</x:t>
  </x:si>
  <x:si>
    <x:t xml:space="preserve">Same as H1 + validator rejects any cell matching ^\d+\.?\d*E\+\d+$</x:t>
  </x:si>
  <x:si>
    <x:t xml:space="preserve">H3</x:t>
  </x:si>
  <x:si>
    <x:t xml:space="preserve">Date coercion</x:t>
  </x:si>
  <x:si>
    <x:t xml:space="preserve">3-14 → 14-Mar-2026</x:t>
  </x:si>
  <x:si>
    <x:t xml:space="preserve">Fuse/relay codes with hyphens destroyed</x:t>
  </x:si>
  <x:si>
    <x:t xml:space="preserve">Text format + reject any datetime dtype in a part-number column</x:t>
  </x:si>
  <x:si>
    <x:t xml:space="preserve">H4</x:t>
  </x:si>
  <x:si>
    <x:t xml:space="preserve">Whitespace / Unicode</x:t>
  </x:si>
  <x:si>
    <x:t xml:space="preserve">Trailing space, U+00A0 non-breaking space, smart quotes</x:t>
  </x:si>
  <x:si>
    <x:t xml:space="preserve">Silent duplicate records that look identical on screen</x:t>
  </x:si>
  <x:si>
    <x:t xml:space="preserve">NFKC normalize → strip → collapse internal whitespace, on every text column, on ingest</x:t>
  </x:si>
  <x:si>
    <x:t xml:space="preserve">H5</x:t>
  </x:si>
  <x:si>
    <x:t xml:space="preserve">Homoglyphs</x:t>
  </x:si>
  <x:si>
    <x:t xml:space="preserve">O vs 0, I vs 1, Cyrillic А vs Latin A</x:t>
  </x:si>
  <x:si>
    <x:t xml:space="preserve">Duplicate parts that are visually identical</x:t>
  </x:si>
  <x:si>
    <x:t xml:space="preserve">ASCII-fold + flag any part number with a non-ASCII character for manual review</x:t>
  </x:si>
  <x:si>
    <x:t xml:space="preserve">H6</x:t>
  </x:si>
  <x:si>
    <x:t xml:space="preserve">Merged cells / multi-row headers</x:t>
  </x:si>
  <x:si>
    <x:t xml:space="preserve">Row 1 merged across A:D</x:t>
  </x:si>
  <x:si>
    <x:t xml:space="preserve">pandas reads NaN columns</x:t>
  </x:si>
  <x:si>
    <x:t xml:space="preserve">Template locks the header row; ingest asserts an exact header match and REJECTS the file. Fail the file — do not guess.</x:t>
  </x:si>
  <x:si>
    <x:t xml:space="preserve">H7</x:t>
  </x:si>
  <x:si>
    <x:t xml:space="preserve">The 'same' part under two brands</x:t>
  </x:si>
  <x:si>
    <x:t xml:space="preserve">One factory, two boxes, two brand IDs</x:t>
  </x:si>
  <x:si>
    <x:t xml:space="preserve">Looks like a duplicate</x:t>
  </x:si>
  <x:si>
    <x:t xml:space="preserve">This is NOT a duplicate — it is a legitimate interchange. Model it in part_interchange. Never merge.</x:t>
  </x:si>
  <x:si>
    <x:t xml:space="preserve">H8</x:t>
  </x:si>
  <x:si>
    <x:t xml:space="preserve">Trim name drift</x:t>
  </x:si>
  <x:si>
    <x:t xml:space="preserve">'LX' vs 'LX Sedan' vs 'LX 4dr'</x:t>
  </x:si>
  <x:si>
    <x:t xml:space="preserve">Fitment misses</x:t>
  </x:si>
  <x:si>
    <x:t xml:space="preserve">Never accept free-text trim. vcdb_submodel_id or nothing. This is why the VCdb licence (D1) matters.</x:t>
  </x:si>
  <x:si>
    <x:t xml:space="preserve">H9</x:t>
  </x:si>
  <x:si>
    <x:t xml:space="preserve">Locale decimals</x:t>
  </x:si>
  <x:si>
    <x:t xml:space="preserve">2,5L vs 2.5L</x:t>
  </x:si>
  <x:si>
    <x:t xml:space="preserve">Engine mismatch</x:t>
  </x:si>
  <x:si>
    <x:t xml:space="preserve">Numeric columns validated as numeric; locale forced to en_US on parse</x:t>
  </x:si>
  <x:si>
    <x:t xml:space="preserve">H10</x:t>
  </x:si>
  <x:si>
    <x:t xml:space="preserve">Silent truncation</x:t>
  </x:si>
  <x:si>
    <x:t xml:space="preserve">Excel cell limits / column width</x:t>
  </x:si>
  <x:si>
    <x:t xml:space="preserve">Data loss with no error</x:t>
  </x:si>
  <x:si>
    <x:t xml:space="preserve">Per-column length assertions</x:t>
  </x:si>
  <x:si>
    <x:t xml:space="preserve">PROOF — this is what H1 looks like in this very workbook:</x:t>
  </x:si>
  <x:si>
    <x:t xml:space="preserve">Text-formatted (correct):</x:t>
  </x:si>
  <x:si>
    <x:t xml:space="preserve">0280155868</x:t>
  </x:si>
  <x:si>
    <x:t xml:space="preserve">General-formatted (corrupted):</x:t>
  </x:si>
  <x:si>
    <x:t xml:space="preserve">← the leading zero is gone, and nothing warned anyone. This is the whole argument for the locked template.</x:t>
  </x:si>
  <x:si>
    <x:t xml:space="preserve">GOLDEN SET (sample of 500) — the CI gate</x:t>
  </x:si>
  <x:si>
    <x:t xml:space="preserve">Runs on every fitment publish. Tier-A precision &lt; 97% FAILS THE BUILD and nothing publishes. This is also the Week-12 go/no-go gate: below 97% we stop and re-plan the data strategy rather than build a UI on top of bad data.</x:t>
  </x:si>
  <x:si>
    <x:t xml:space="preserve">case_id</x:t>
  </x:si>
  <x:si>
    <x:t xml:space="preserve">resolved_options</x:t>
  </x:si>
  <x:si>
    <x:t xml:space="preserve">expected_result</x:t>
  </x:si>
  <x:si>
    <x:t xml:space="preserve">expected_tier</x:t>
  </x:si>
  <x:si>
    <x:t xml:space="preserve">expected_reason_code</x:t>
  </x:si>
  <x:si>
    <x:t xml:space="preserve">authored_by</x:t>
  </x:si>
  <x:si>
    <x:t xml:space="preserve">authored_on</x:t>
  </x:si>
  <x:si>
    <x:t xml:space="preserve">why this case exists</x:t>
  </x:si>
  <x:si>
    <x:t xml:space="preserve">GS-001</x:t>
  </x:si>
  <x:si>
    <x:t xml:space="preserve">{"TOW_PKG":true}</x:t>
  </x:si>
  <x:si>
    <x:t xml:space="preserve">FIT</x:t>
  </x:si>
  <x:si>
    <x:t xml:space="preserve">SME</x:t>
  </x:si>
  <x:si>
    <x:t xml:space="preserve">Happy path — qualifier satisfied, exact vehicle match</x:t>
  </x:si>
  <x:si>
    <x:t xml:space="preserve">GS-002</x:t>
  </x:si>
  <x:si>
    <x:t xml:space="preserve">{"TOW_PKG":false}</x:t>
  </x:si>
  <x:si>
    <x:t xml:space="preserve">DROP</x:t>
  </x:si>
  <x:si>
    <x:t xml:space="preserve">QUALIFIER_CONTRADICTED</x:t>
  </x:si>
  <x:si>
    <x:t xml:space="preserve">★ Qualifier contradicted → DROP, not downgrade. The single most important negative case.</x:t>
  </x:si>
  <x:si>
    <x:t xml:space="preserve">GS-003</x:t>
  </x:si>
  <x:si>
    <x:t xml:space="preserve">NEEDS_OPTION:TOW_PKG</x:t>
  </x:si>
  <x:si>
    <x:t xml:space="preserve">★ Unknown ≠ false. Downgrade to B and ASK. This is the product.</x:t>
  </x:si>
  <x:si>
    <x:t xml:space="preserve">GS-004</x:t>
  </x:si>
  <x:si>
    <x:t xml:space="preserve">★ 51 vs 51R. Same size, same CCA, reversed terminals. The elevator pitch.</x:t>
  </x:si>
  <x:si>
    <x:t xml:space="preserve">GS-005</x:t>
  </x:si>
  <x:si>
    <x:t xml:space="preserve">The correct half of GS-004</x:t>
  </x:si>
  <x:si>
    <x:t xml:space="preserve">GS-006</x:t>
  </x:si>
  <x:si>
    <x:t xml:space="preserve">★ 30A in a 20A circuit. NO OVERRIDE PATH EXISTS. The one rule that can burn a car down.</x:t>
  </x:si>
  <x:si>
    <x:t xml:space="preserve">GS-007</x:t>
  </x:si>
  <x:si>
    <x:t xml:space="preserve">SUPPRESS</x:t>
  </x:si>
  <x:si>
    <x:t xml:space="preserve">★ HV vehicle → §17.4 hard gate fires before any fitment logic runs</x:t>
  </x:si>
  <x:si>
    <x:t xml:space="preserve">GS-008</x:t>
  </x:si>
  <x:si>
    <x:t xml:space="preserve">Cross-reference path caps at C. Always. An interchange is a claim about two parts, not about a vehicle.</x:t>
  </x:si>
  <x:si>
    <x:t xml:space="preserve">GS-009</x:t>
  </x:si>
  <x:si>
    <x:t xml:space="preserve">Physical interface mismatch → DROP, never a warning</x:t>
  </x:si>
  <x:si>
    <x:t xml:space="preserve">GS-010</x:t>
  </x:si>
  <x:si>
    <x:t xml:space="preserve">QTY:4</x:t>
  </x:si>
  <x:si>
    <x:t xml:space="preserve">quantity_required must survive to the UI — the user needs four, not one</x:t>
  </x:si>
  <x:si>
    <x:t xml:space="preserve">GS-011</x:t>
  </x:si>
  <x:si>
    <x:t xml:space="preserve">Same base vehicle, different engine → must not silently claim A</x:t>
  </x:si>
  <x:si>
    <x:t xml:space="preserve">GS-012</x:t>
  </x:si>
  <x:si>
    <x:t xml:space="preserve">NO_RESULTS</x:t>
  </x:si>
  <x:si>
    <x:t xml:space="preserve">VEHICLE_NOT_COVERED</x:t>
  </x:si>
  <x:si>
    <x:t xml:space="preserve">★ Out-of-scope vehicle → honest empty state. NEVER a nearest-neighbour guess.</x:t>
  </x:si>
  <x:si>
    <x:t xml:space="preserve">COMPOSITION OF THE FULL 500</x:t>
  </x:si>
  <x:si>
    <x:t xml:space="preserve">Happy-path FIT cases</x:t>
  </x:si>
  <x:si>
    <x:t xml:space="preserve">Qualifier-contradiction DROPs</x:t>
  </x:si>
  <x:si>
    <x:t xml:space="preserve">Unknown-qualifier → Tier B</x:t>
  </x:si>
  <x:si>
    <x:t xml:space="preserve">Electrical attribute DROPs (connector/terminal/rating)</x:t>
  </x:si>
  <x:si>
    <x:t xml:space="preserve">Cross-reference → Tier C caps</x:t>
  </x:si>
  <x:si>
    <x:t xml:space="preserve">HV / safety suppressions</x:t>
  </x:si>
  <x:si>
    <x:t xml:space="preserve">Out-of-scope → honest empty state</x:t>
  </x:si>
  <x:si>
    <x:t xml:space="preserve">TOTAL</x:t>
  </x:si>
  <x:si>
    <x:t xml:space="preserve">Note the ratio: 320 of 500 cases assert that something should NOT be shown, or should be shown with a caveat.</x:t>
  </x:si>
  <x:si>
    <x:t xml:space="preserve">A fitment test suite that only tests fitment is testing the easy half. The value of this product is in what it refuses to say.</x:t>
  </x:si>
  <x:si>
    <x:t xml:space="preserve">Glossary - terms used in the Honda Civic vehicle and battery sheets</x:t>
  </x:si>
  <x:si>
    <x:t xml:space="preserve">Written for readers without an electrical-engineering background. 'Relevant sheet/column' points to where each term appears.</x:t>
  </x:si>
  <x:si>
    <x:t xml:space="preserve">Term</x:t>
  </x:si>
  <x:si>
    <x:t xml:space="preserve">Abbrev.</x:t>
  </x:si>
  <x:si>
    <x:t xml:space="preserve">Plain-language definition</x:t>
  </x:si>
  <x:si>
    <x:t xml:space="preserve">Technical definition</x:t>
  </x:si>
  <x:si>
    <x:t xml:space="preserve">Unit</x:t>
  </x:si>
  <x:si>
    <x:t xml:space="preserve">Relevant worksheet / column</x:t>
  </x:si>
  <x:si>
    <x:t xml:space="preserve">Honda Civic example</x:t>
  </x:si>
  <x:si>
    <x:t xml:space="preserve">Source</x:t>
  </x:si>
  <x:si>
    <x:t xml:space="preserve">Amp-hour</x:t>
  </x:si>
  <x:si>
    <x:t xml:space="preserve">Ah</x:t>
  </x:si>
  <x:si>
    <x:t xml:space="preserve">How much charge a battery holds - roughly, how long it can supply a given current.</x:t>
  </x:si>
  <x:si>
    <x:t xml:space="preserve">Charge capacity: a current of one amp delivered for one hour = 1 Ah.</x:t>
  </x:si>
  <x:si>
    <x:t xml:space="preserve">02: rated_capacity_ah</x:t>
  </x:si>
  <x:si>
    <x:t xml:space="preserve">A 51R Civic battery holds ~38-45 Ah.</x:t>
  </x:si>
  <x:si>
    <x:t xml:space="preserve">General reference</x:t>
  </x:si>
  <x:si>
    <x:t xml:space="preserve">Amperage</x:t>
  </x:si>
  <x:si>
    <x:t xml:space="preserve">The amount of electric current flowing.</x:t>
  </x:si>
  <x:si>
    <x:t xml:space="preserve">Electric current, measured in amperes (amps).</x:t>
  </x:si>
  <x:si>
    <x:t xml:space="preserve">A (amps)</x:t>
  </x:si>
  <x:si>
    <x:t xml:space="preserve">01: alternator_rated_a; 02: charge/discharge columns</x:t>
  </x:si>
  <x:si>
    <x:t xml:space="preserve">A Civic alternator's output is rated in amps (value not published).</x:t>
  </x:si>
  <x:si>
    <x:t xml:space="preserve">Battery capacity</x:t>
  </x:si>
  <x:si>
    <x:t xml:space="preserve">How much energy or charge a battery stores before needing a recharge.</x:t>
  </x:si>
  <x:si>
    <x:t xml:space="preserve">Total extractable charge (Ah) or energy (Wh/kWh) under defined conditions.</x:t>
  </x:si>
  <x:si>
    <x:t xml:space="preserve">Ah or Wh/kWh</x:t>
  </x:si>
  <x:si>
    <x:t xml:space="preserve">02: rated_capacity_ah, energy_capacity_wh_kwh</x:t>
  </x:si>
  <x:si>
    <x:t xml:space="preserve">Civic hybrid HV pack = 1.06 kWh total.</x:t>
  </x:si>
  <x:si>
    <x:t xml:space="preserve">Honda newsroom</x:t>
  </x:si>
  <x:si>
    <x:t xml:space="preserve">Battery chemistry</x:t>
  </x:si>
  <x:si>
    <x:t xml:space="preserve">What the battery is made of - which decides its behaviour, cost and care.</x:t>
  </x:si>
  <x:si>
    <x:t xml:space="preserve">The electrochemical system (e.g. flooded lead-acid, EFB, AGM, lithium-ion).</x:t>
  </x:si>
  <x:si>
    <x:t xml:space="preserve">01: primary_batt_chemistry; 02: battery_type_chemistry</x:t>
  </x:si>
  <x:si>
    <x:t xml:space="preserve">10th-gen Civic = EFB lead-acid; 2025 hybrid pack = lithium-ion.</x:t>
  </x:si>
  <x:si>
    <x:t xml:space="preserve">hondapartsnow; Honda ERG</x:t>
  </x:si>
  <x:si>
    <x:t xml:space="preserve">Battery group size</x:t>
  </x:si>
  <x:si>
    <x:t xml:space="preserve">BCI group</x:t>
  </x:si>
  <x:si>
    <x:t xml:space="preserve">A standard code for a battery's physical size and terminal layout - like a shoe size.</x:t>
  </x:si>
  <x:si>
    <x:t xml:space="preserve">Battery Council International size class defining case dimensions, terminal type and orientation (not power).</x:t>
  </x:si>
  <x:si>
    <x:t xml:space="preserve">01: primary_batt_group_bci; 02: battery_group_size</x:t>
  </x:si>
  <x:si>
    <x:t xml:space="preserve">Standard Civic = Group 51R (10th gen) or 47/H5 (11th gen).</x:t>
  </x:si>
  <x:si>
    <x:t xml:space="preserve">BCI; hondapartsnow</x:t>
  </x:si>
  <x:si>
    <x:t xml:space="preserve">Battery-management system</x:t>
  </x:si>
  <x:si>
    <x:t xml:space="preserve">BMS</x:t>
  </x:si>
  <x:si>
    <x:t xml:space="preserve">The electronics that watch and protect a battery pack (mainly on hybrids/EVs).</x:t>
  </x:si>
  <x:si>
    <x:t xml:space="preserve">Control system monitoring cell voltage/temperature/current, balancing cells and enforcing safe limits.</x:t>
  </x:si>
  <x:si>
    <x:t xml:space="preserve">02: hv_battery_management_system</x:t>
  </x:si>
  <x:si>
    <x:t xml:space="preserve">Civic hybrid pack is managed by the Power Control Unit; detailed BMS spec not public.</x:t>
  </x:si>
  <x:si>
    <x:t xml:space="preserve">C-rate</x:t>
  </x:si>
  <x:si>
    <x:t xml:space="preserve">How fast a battery is charged or discharged relative to its capacity.</x:t>
  </x:si>
  <x:si>
    <x:t xml:space="preserve">Charge/discharge current expressed as a multiple of capacity; 1C = full capacity in one hour.</x:t>
  </x:si>
  <x:si>
    <x:t xml:space="preserve">C (multiple)</x:t>
  </x:si>
  <x:si>
    <x:t xml:space="preserve">02: discharge_c_rate</x:t>
  </x:si>
  <x:si>
    <x:t xml:space="preserve">Not published for the Civic's lead-acid starting batteries.</x:t>
  </x:si>
  <x:si>
    <x:t xml:space="preserve">N/A for lead-acid starting</x:t>
  </x:si>
  <x:si>
    <x:t xml:space="preserve">Charge cycle</x:t>
  </x:si>
  <x:si>
    <x:t xml:space="preserve">One full 'use it then refill it' of a battery.</x:t>
  </x:si>
  <x:si>
    <x:t xml:space="preserve">One full charge + discharge (or cumulative partial cycles equalling 100% of capacity).</x:t>
  </x:si>
  <x:si>
    <x:t xml:space="preserve">cycle</x:t>
  </x:si>
  <x:si>
    <x:t xml:space="preserve">02: estimated_cycle_life</x:t>
  </x:si>
  <x:si>
    <x:t xml:space="preserve">Hybrid packs are rated in cycles; the Civic pack's rating is not public.</x:t>
  </x:si>
  <x:si>
    <x:t xml:space="preserve">Cold-cranking amps</x:t>
  </x:si>
  <x:si>
    <x:t xml:space="preserve">CCA</x:t>
  </x:si>
  <x:si>
    <x:t xml:space="preserve">How much starting punch a battery has in the cold.</x:t>
  </x:si>
  <x:si>
    <x:t xml:space="preserve">Amps a 12V battery delivers at 0 F (-18 C) for 30 s while staying above 7.2V.</x:t>
  </x:si>
  <x:si>
    <x:t xml:space="preserve">01: primary_batt_cca_a; 02: cold_cranking_amps_cca</x:t>
  </x:si>
  <x:si>
    <x:t xml:space="preserve">OE 51R Civic battery ~400 CCA; aftermarket 410-450.</x:t>
  </x:si>
  <x:si>
    <x:t xml:space="preserve">hondaautomotiveparts; Firestone</x:t>
  </x:si>
  <x:si>
    <x:t xml:space="preserve">Continuous discharge current</x:t>
  </x:si>
  <x:si>
    <x:t xml:space="preserve">The steady current a battery can safely supply for a long time.</x:t>
  </x:si>
  <x:si>
    <x:t xml:space="preserve">Maximum sustained discharge current within thermal/voltage limits.</x:t>
  </x:si>
  <x:si>
    <x:t xml:space="preserve">02: max_continuous_discharge_a</x:t>
  </x:si>
  <x:si>
    <x:t xml:space="preserve">Not specified for the Civic's lead-acid starting batteries.</x:t>
  </x:si>
  <x:si>
    <x:t xml:space="preserve">Cranking amps</x:t>
  </x:si>
  <x:si>
    <x:t xml:space="preserve">CA</x:t>
  </x:si>
  <x:si>
    <x:t xml:space="preserve">Starting punch measured at a milder temperature than CCA (so the number looks bigger).</x:t>
  </x:si>
  <x:si>
    <x:t xml:space="preserve">Amps delivered at 32 F (0 C) for 30 s above 7.2V (a.k.a. MCA).</x:t>
  </x:si>
  <x:si>
    <x:t xml:space="preserve">02: cranking_amps_ca</x:t>
  </x:si>
  <x:si>
    <x:t xml:space="preserve">OE 51R Civic ~500 CA (from the '500Amp' part name).</x:t>
  </x:si>
  <x:si>
    <x:t xml:space="preserve">hondapartsnow part naming</x:t>
  </x:si>
  <x:si>
    <x:t xml:space="preserve">Cycle life</x:t>
  </x:si>
  <x:si>
    <x:t xml:space="preserve">How many charge/discharge cycles a battery lasts before it noticeably weakens.</x:t>
  </x:si>
  <x:si>
    <x:t xml:space="preserve">Number of cycles until capacity falls below a stated threshold (often 70-80%).</x:t>
  </x:si>
  <x:si>
    <x:t xml:space="preserve">02: estimated_cycle_life, hv_expected_cycle_life</x:t>
  </x:si>
  <x:si>
    <x:t xml:space="preserve">Civic hybrid pack cycle life is not published.</x:t>
  </x:si>
  <x:si>
    <x:t xml:space="preserve">DC-DC converter</x:t>
  </x:si>
  <x:si>
    <x:t xml:space="preserve">A device that steps the hybrid's high voltage down to run the normal 12V system.</x:t>
  </x:si>
  <x:si>
    <x:t xml:space="preserve">Power electronics converting one DC voltage to another (here ~262V -&gt; ~12-14V).</x:t>
  </x:si>
  <x:si>
    <x:t xml:space="preserve">02: B-CIV-007 notes; 01: charging notes (hybrid)</x:t>
  </x:si>
  <x:si>
    <x:t xml:space="preserve">On the Civic hybrid it replaces the alternator, keeping the 12V battery charged.</x:t>
  </x:si>
  <x:si>
    <x:t xml:space="preserve">Honda two-motor system</x:t>
  </x:si>
  <x:si>
    <x:t xml:space="preserve">Depth of discharge</x:t>
  </x:si>
  <x:si>
    <x:t xml:space="preserve">DoD</x:t>
  </x:si>
  <x:si>
    <x:t xml:space="preserve">How far a battery has been run down, as a percentage.</x:t>
  </x:si>
  <x:si>
    <x:t xml:space="preserve">Percentage of capacity withdrawn; inverse of state of charge.</x:t>
  </x:si>
  <x:si>
    <x:t xml:space="preserve">02: recommended/max_depth_of_discharge</x:t>
  </x:si>
  <x:si>
    <x:t xml:space="preserve">Starting batteries are only shallow-cycled; the hybrid pack's DoD window is not public.</x:t>
  </x:si>
  <x:si>
    <x:t xml:space="preserve">Discharge coefficient</x:t>
  </x:si>
  <x:si>
    <x:t xml:space="preserve">An adjustment factor for how a battery behaves at different discharge rates/temperatures.</x:t>
  </x:si>
  <x:si>
    <x:t xml:space="preserve">Peukert-type coefficient relating usable capacity to discharge current.</x:t>
  </x:si>
  <x:si>
    <x:t xml:space="preserve">02: discharge_coefficient</x:t>
  </x:si>
  <x:si>
    <x:t xml:space="preserve">Not published for the Civic's batteries.</x:t>
  </x:si>
  <x:si>
    <x:t xml:space="preserve">High-voltage battery</x:t>
  </x:si>
  <x:si>
    <x:t xml:space="preserve">HV battery</x:t>
  </x:si>
  <x:si>
    <x:t xml:space="preserve">The big battery that actually drives a hybrid/EV - dangerous to touch.</x:t>
  </x:si>
  <x:si>
    <x:t xml:space="preserve">Traction energy-storage pack operating well above 60V (here 262V).</x:t>
  </x:si>
  <x:si>
    <x:t xml:space="preserve">V / kWh</x:t>
  </x:si>
  <x:si>
    <x:t xml:space="preserve">01: hv_batt_* ; 02: hv_* columns</x:t>
  </x:si>
  <x:si>
    <x:t xml:space="preserve">2025 Civic hybrid: 262V, 1.06 kWh, 72 cells / 2 modules, under the rear seat.</x:t>
  </x:si>
  <x:si>
    <x:t xml:space="preserve">Honda ERG; newsroom</x:t>
  </x:si>
  <x:si>
    <x:t xml:space="preserve">Lithium-ion battery</x:t>
  </x:si>
  <x:si>
    <x:t xml:space="preserve">Li-ion</x:t>
  </x:si>
  <x:si>
    <x:t xml:space="preserve">A lightweight, high-energy rechargeable battery (phones, laptops, EVs).</x:t>
  </x:si>
  <x:si>
    <x:t xml:space="preserve">Rechargeable cells shuttling lithium ions between electrodes; high energy density.</x:t>
  </x:si>
  <x:si>
    <x:t xml:space="preserve">01/02: chemistry fields</x:t>
  </x:si>
  <x:si>
    <x:t xml:space="preserve">The 2025 Civic hybrid traction pack is lithium-ion.</x:t>
  </x:si>
  <x:si>
    <x:t xml:space="preserve">Honda ERG</x:t>
  </x:si>
  <x:si>
    <x:t xml:space="preserve">Nominal voltage</x:t>
  </x:si>
  <x:si>
    <x:t xml:space="preserve">The 'name-plate' voltage a battery is called, not its exact live reading.</x:t>
  </x:si>
  <x:si>
    <x:t xml:space="preserve">Rated reference voltage of a cell/pack under standard conditions.</x:t>
  </x:si>
  <x:si>
    <x:t xml:space="preserve">01: primary_batt_nominal_v, hv_batt_nominal_v; 02: nominal_voltage_v, hv_nominal_pack_voltage_v</x:t>
  </x:si>
  <x:si>
    <x:t xml:space="preserve">Civic 12V system = 12V nominal (rests ~12.6V); hybrid pack = 262V.</x:t>
  </x:si>
  <x:si>
    <x:t xml:space="preserve">General; Honda ERG</x:t>
  </x:si>
  <x:si>
    <x:t xml:space="preserve">Peak discharge current</x:t>
  </x:si>
  <x:si>
    <x:t xml:space="preserve">The biggest burst of current a battery can give for a moment.</x:t>
  </x:si>
  <x:si>
    <x:t xml:space="preserve">Maximum short-duration current the battery can deliver.</x:t>
  </x:si>
  <x:si>
    <x:t xml:space="preserve">02: peak_discharge_amps</x:t>
  </x:si>
  <x:si>
    <x:t xml:space="preserve">Reserve capacity</x:t>
  </x:si>
  <x:si>
    <x:t xml:space="preserve">RC</x:t>
  </x:si>
  <x:si>
    <x:t xml:space="preserve">How long a battery can run the car's basics if the alternator quits.</x:t>
  </x:si>
  <x:si>
    <x:t xml:space="preserve">Minutes a fully-charged 12V battery sustains 25A above 10.5V.</x:t>
  </x:si>
  <x:si>
    <x:t xml:space="preserve">01: primary_batt_reserve_min; 02: reserve_capacity_min</x:t>
  </x:si>
  <x:si>
    <x:t xml:space="preserve">OE 51R Civic ~85 min; 11th-gen H5 ~100-115 min.</x:t>
  </x:si>
  <x:si>
    <x:t xml:space="preserve">hondapartsnow; Advance Auto</x:t>
  </x:si>
  <x:si>
    <x:t xml:space="preserve">Standard charge amperage</x:t>
  </x:si>
  <x:si>
    <x:t xml:space="preserve">A sensible everyday charging current for the battery.</x:t>
  </x:si>
  <x:si>
    <x:t xml:space="preserve">Recommended constant charge current (often ~C/10).</x:t>
  </x:si>
  <x:si>
    <x:t xml:space="preserve">02: standard_charge_amps</x:t>
  </x:si>
  <x:si>
    <x:t xml:space="preserve">Group-47 guidance ~5-7A (not an OEM figure).</x:t>
  </x:si>
  <x:si>
    <x:t xml:space="preserve">batteryequivalents (guidance)</x:t>
  </x:si>
  <x:si>
    <x:t xml:space="preserve">Maximum charge amperage</x:t>
  </x:si>
  <x:si>
    <x:t xml:space="preserve">The most charging current the battery should ever get.</x:t>
  </x:si>
  <x:si>
    <x:t xml:space="preserve">Upper safe charge-current limit before damage/gassing.</x:t>
  </x:si>
  <x:si>
    <x:t xml:space="preserve">02: max_recommended_charge_amps</x:t>
  </x:si>
  <x:si>
    <x:t xml:space="preserve">Not published by Honda for the Civic's batteries.</x:t>
  </x:si>
  <x:si>
    <x:t xml:space="preserve">State of charge</x:t>
  </x:si>
  <x:si>
    <x:t xml:space="preserve">SOC</x:t>
  </x:si>
  <x:si>
    <x:t xml:space="preserve">How full the battery is right now, as a percentage.</x:t>
  </x:si>
  <x:si>
    <x:t xml:space="preserve">Present capacity as a percentage of full capacity.</x:t>
  </x:si>
  <x:si>
    <x:t xml:space="preserve">02: hv_soc_operating_range</x:t>
  </x:si>
  <x:si>
    <x:t xml:space="preserve">The hybrid keeps its pack in a limited SOC band; the exact window is not public.</x:t>
  </x:si>
  <x:si>
    <x:t xml:space="preserve">The normal 12V car battery that cranks the engine and runs electronics.</x:t>
  </x:si>
  <x:si>
    <x:t xml:space="preserve">SLI (starting-lighting-ignition) battery: high burst current, shallow cycling.</x:t>
  </x:si>
  <x:si>
    <x:t xml:space="preserve">02: battery_application = Starting</x:t>
  </x:si>
  <x:si>
    <x:t xml:space="preserve">Every non-hybrid Civic uses one (Group 51R or H5).</x:t>
  </x:si>
  <x:si>
    <x:t xml:space="preserve">hondapartsnow</x:t>
  </x:si>
  <x:si>
    <x:t xml:space="preserve">Auxiliary battery</x:t>
  </x:si>
  <x:si>
    <x:t xml:space="preserve">On a hybrid, the small 12V battery that runs electronics (it does NOT drive the car).</x:t>
  </x:si>
  <x:si>
    <x:t xml:space="preserve">Low-voltage SLI-type battery kept charged by the DC-DC converter.</x:t>
  </x:si>
  <x:si>
    <x:t xml:space="preserve">02: battery_application = Auxiliary</x:t>
  </x:si>
  <x:si>
    <x:t xml:space="preserve">The 2025 Civic hybrid has a conventional 12V auxiliary - a common false-alarm source when weak.</x:t>
  </x:si>
  <x:si>
    <x:t xml:space="preserve">go-parts</x:t>
  </x:si>
  <x:si>
    <x:t xml:space="preserve">Traction battery</x:t>
  </x:si>
  <x:si>
    <x:t xml:space="preserve">The high-voltage battery that moves a hybrid/EV.</x:t>
  </x:si>
  <x:si>
    <x:t xml:space="preserve">HV energy-storage pack powering the drive motor(s).</x:t>
  </x:si>
  <x:si>
    <x:t xml:space="preserve">02: battery_application = Traction</x:t>
  </x:si>
  <x:si>
    <x:t xml:space="preserve">Civic hybrid: 262V Li-ion, 1.06 kWh.</x:t>
  </x:si>
  <x:si>
    <x:t xml:space="preserve">Voltage regulator</x:t>
  </x:si>
  <x:si>
    <x:t xml:space="preserve">The part that keeps charging voltage steady so the battery isn't over/under-charged.</x:t>
  </x:si>
  <x:si>
    <x:t xml:space="preserve">Circuit controlling alternator field to hold target output voltage; on modern Hondas the PCM does this via the ELD.</x:t>
  </x:si>
  <x:si>
    <x:t xml:space="preserve">01: voltage_regulator_type</x:t>
  </x:si>
  <x:si>
    <x:t xml:space="preserve">Modern Civics use PCM-controlled dual-mode charging (~14.4-14.5V high / ~12.4-12.9V economy).</x:t>
  </x:si>
  <x:si>
    <x:t xml:space="preserve">UnderhoodService; Honda service doc</x:t>
  </x:si>
  <x:si>
    <x:t xml:space="preserve">Watt-hour</x:t>
  </x:si>
  <x:si>
    <x:t xml:space="preserve">Wh</x:t>
  </x:si>
  <x:si>
    <x:t xml:space="preserve">A unit of stored energy (1,000 Wh = 1 kWh).</x:t>
  </x:si>
  <x:si>
    <x:t xml:space="preserve">Energy = voltage x amp-hours; 1 Wh = 3,600 joules.</x:t>
  </x:si>
  <x:si>
    <x:t xml:space="preserve">02: energy_capacity_wh_kwh</x:t>
  </x:si>
  <x:si>
    <x:t xml:space="preserve">Civic hybrid pack = 1,060 Wh (1.06 kWh).</x:t>
  </x:si>
  <x:si>
    <x:t xml:space="preserve">Enhanced Flooded Battery</x:t>
  </x:si>
  <x:si>
    <x:t xml:space="preserve">EFB</x:t>
  </x:si>
  <x:si>
    <x:t xml:space="preserve">A tougher flooded battery built for stop-start engines.</x:t>
  </x:si>
  <x:si>
    <x:t xml:space="preserve">Flooded lead-acid with improved cycling/charge acceptance for micro-hybrid duty.</x:t>
  </x:si>
  <x:si>
    <x:t xml:space="preserve">01/02: chemistry</x:t>
  </x:si>
  <x:si>
    <x:t xml:space="preserve">Factory chemistry on most modern Civics.</x:t>
  </x:si>
  <x:si>
    <x:t xml:space="preserve">Absorbed Glass Mat</x:t>
  </x:si>
  <x:si>
    <x:t xml:space="preserve">AGM</x:t>
  </x:si>
  <x:si>
    <x:t xml:space="preserve">A sealed, more durable battery - required on some stop-start cars.</x:t>
  </x:si>
  <x:si>
    <x:t xml:space="preserve">Lead-acid with electrolyte held in glass-mat separators; higher cycle life, spill-proof.</x:t>
  </x:si>
  <x:si>
    <x:t xml:space="preserve">Required on 11th-gen Civics with auto idle-stop.</x:t>
  </x:si>
  <x:si>
    <x:t xml:space="preserve">revcivic</x:t>
  </x:si>
  <x:si>
    <x:t xml:space="preserve">Electrical Load Detector</x:t>
  </x:si>
  <x:si>
    <x:t xml:space="preserve">ELD</x:t>
  </x:si>
  <x:si>
    <x:t xml:space="preserve">A sensor that lets the car charge only as hard as it needs to, to save fuel.</x:t>
  </x:si>
  <x:si>
    <x:t xml:space="preserve">Current sensor in the underhood fuse box; the PCM uses its signal to switch the alternator high/low.</x:t>
  </x:si>
  <x:si>
    <x:t xml:space="preserve">01: charging_system_notes</x:t>
  </x:si>
  <x:si>
    <x:t xml:space="preserve">Standard on modern Hondas; drives the dual-mode charging.</x:t>
  </x:si>
  <x:si>
    <x:t xml:space="preserve">UnderhoodService; Identifix</x:t>
  </x:si>
  <x:si>
    <x:t xml:space="preserve">Original Equipment Manufacturer</x:t>
  </x:si>
  <x:si>
    <x:t xml:space="preserve">The exact part (or spec) that came from the factory.</x:t>
  </x:si>
  <x:si>
    <x:t xml:space="preserve">Component/spec supplied or specified by the vehicle maker.</x:t>
  </x:si>
  <x:si>
    <x:t xml:space="preserve">01/02: value basis tags</x:t>
  </x:si>
  <x:si>
    <x:t xml:space="preserve">Honda battery 31500-SR1-100M is the OEM 51R battery.</x:t>
  </x:si>
  <x:si>
    <x:t xml:space="preserve">Aftermarket</x:t>
  </x:si>
  <x:si>
    <x:t xml:space="preserve">A replacement part made by someone other than the vehicle maker.</x:t>
  </x:si>
  <x:si>
    <x:t xml:space="preserve">Non-OEM part meeting form/fit/function; specs may differ from OE.</x:t>
  </x:si>
  <x:si>
    <x:t xml:space="preserve">02: aftermarket_equivalent_part_numbers</x:t>
  </x:si>
  <x:si>
    <x:t xml:space="preserve">An Optima D51R is an aftermarket equivalent to the OE 51R.</x:t>
  </x:si>
  <x:si>
    <x:t xml:space="preserve">batteryequivalents</x:t>
  </x:si>
  <x:si>
    <x:t xml:space="preserve">Reverse terminal</x:t>
  </x:si>
  <x:si>
    <x:t xml:space="preserve">Terminals on the opposite side - why a '51' won't safely replace a '51R'.</x:t>
  </x:si>
  <x:si>
    <x:t xml:space="preserve">Terminal polarity/position mirrored vs the base group; affects cable reach.</x:t>
  </x:si>
  <x:si>
    <x:t xml:space="preserve">01: primary_batt_terminal; 02: terminal_type_and_orientation</x:t>
  </x:si>
  <x:si>
    <x:t xml:space="preserve">Civic uses 51R (R = positive on the right); a plain 51 won't reach.</x:t>
  </x:si>
  <x:si>
    <x:t xml:space="preserve">BCI; vatrerpower</x:t>
  </x:si>
  <x:si>
    <x:t xml:space="preserve">Power Control Unit / Intelligent Power Unit</x:t>
  </x:si>
  <x:si>
    <x:t xml:space="preserve">PCU / IPU</x:t>
  </x:si>
  <x:si>
    <x:t xml:space="preserve">The hybrid's 'brain box' and battery housing that manage the electric drive.</x:t>
  </x:si>
  <x:si>
    <x:t xml:space="preserve">PCU = inverter/DC-DC/controllers; IPU = houses the HV battery + hardware.</x:t>
  </x:si>
  <x:si>
    <x:t xml:space="preserve">02: hv_bms; B-CIV-008 notes</x:t>
  </x:si>
  <x:si>
    <x:t xml:space="preserve">The Civic hybrid's IPU houses the 1.06 kWh pack; the PCU manages power.</x:t>
  </x:si>
  <x:si>
    <x:t xml:space="preserve">Idle-stop / start-stop</x:t>
  </x:si>
  <x:si>
    <x:t xml:space="preserve">The feature that shuts the engine at stops to save fuel, restarting when you go.</x:t>
  </x:si>
  <x:si>
    <x:t xml:space="preserve">Automatic engine stop/restart; demands EFB/AGM batteries for frequent cycling.</x:t>
  </x:si>
  <x:si>
    <x:t xml:space="preserve">02: compatibility_notes</x:t>
  </x:si>
  <x:si>
    <x:t xml:space="preserve">11th-gen Civics so equipped require an AGM battery.</x:t>
  </x:si>
</x:sst>
</file>

<file path=xl/styles.xml><?xml version="1.0" encoding="utf-8"?>
<x:styleSheet xmlns:x="http://schemas.openxmlformats.org/spreadsheetml/2006/main">
  <x:numFmts count="12">
    <x:numFmt numFmtId="164" formatCode="General"/>
    <x:numFmt numFmtId="165" formatCode="@"/>
    <x:numFmt numFmtId="166" formatCode="General"/>
    <x:numFmt numFmtId="167" formatCode="yyyy\-mm\-dd"/>
    <x:numFmt numFmtId="168" formatCode="yyyy\-mm\-dd\ hh:mm"/>
    <x:numFmt numFmtId="169" formatCode="\$#,##0.00"/>
    <x:numFmt numFmtId="170" formatCode="0.00"/>
    <x:numFmt numFmtId="171" formatCode="0.0"/>
    <x:numFmt numFmtId="172" formatCode="0.000"/>
    <x:numFmt numFmtId="200" formatCode="yyyy-mm-dd"/>
    <x:numFmt numFmtId="201" formatCode="0&quot; Wh [calculated]&quot;"/>
    <x:numFmt numFmtId="202" formatCode="0"/>
  </x:numFmts>
  <x:fonts count="34">
    <x:font>
      <x:sz val="11"/>
      <x:color theme="1"/>
      <x:name val="Calibri"/>
    </x:font>
    <x:font>
      <x:sz val="10"/>
      <x:name val="Arial"/>
    </x:font>
    <x:font>
      <x:sz val="10"/>
      <x:name val="Arial"/>
    </x:font>
    <x:font>
      <x:sz val="10"/>
      <x:name val="Arial"/>
    </x:font>
    <x:font>
      <x:b/>
      <x:sz val="16"/>
      <x:color rgb="FF1E2761"/>
      <x:name val="Arial"/>
    </x:font>
    <x:font>
      <x:sz val="9"/>
      <x:color rgb="FF6B7280"/>
      <x:name val="Arial"/>
    </x:font>
    <x:font>
      <x:b/>
      <x:sz val="10"/>
      <x:color rgb="FFC0392B"/>
      <x:name val="Arial"/>
    </x:font>
    <x:font>
      <x:b/>
      <x:sz val="11"/>
      <x:color rgb="FF1E2761"/>
      <x:name val="Arial"/>
    </x:font>
    <x:font>
      <x:b/>
      <x:sz val="10"/>
      <x:name val="Arial"/>
    </x:font>
    <x:font>
      <x:sz val="10"/>
      <x:name val="Arial"/>
    </x:font>
    <x:font>
      <x:b/>
      <x:sz val="10"/>
      <x:color rgb="FF1E2761"/>
      <x:name val="Arial"/>
    </x:font>
    <x:font>
      <x:sz val="9"/>
      <x:name val="Arial"/>
    </x:font>
    <x:font>
      <x:b/>
      <x:sz val="15"/>
      <x:color rgb="FF1E2761"/>
      <x:name val="Arial"/>
    </x:font>
    <x:font>
      <x:sz val="8"/>
      <x:color rgb="FF6B7280"/>
      <x:name val="Arial"/>
    </x:font>
    <x:font>
      <x:b/>
      <x:sz val="10"/>
      <x:color rgb="FFFFFFFF"/>
      <x:name val="Arial"/>
    </x:font>
    <x:font>
      <x:b/>
      <x:sz val="9"/>
      <x:color rgb="FFFFFFFF"/>
      <x:name val="Arial"/>
    </x:font>
    <x:font>
      <x:i/>
      <x:sz val="9"/>
      <x:color rgb="FF6B7280"/>
      <x:name val="Arial"/>
    </x:font>
    <x:font>
      <x:b/>
      <x:sz val="9"/>
      <x:name val="Arial"/>
    </x:font>
    <x:font>
      <x:b/>
      <x:sz val="9"/>
      <x:color rgb="FFC0392B"/>
      <x:name val="Arial"/>
    </x:font>
    <x:font>
      <x:sz val="10"/>
      <x:name val="Arial"/>
    </x:font>
    <x:font>
      <x:b/>
      <x:sz val="9"/>
      <x:color rgb="FF1E7A46"/>
      <x:name val="Arial"/>
    </x:font>
    <x:font>
      <x:sz val="10"/>
      <x:color rgb="FF0000FF"/>
      <x:name val="Arial"/>
    </x:font>
    <x:font>
      <x:sz val="10"/>
      <x:color rgb="FF000000"/>
      <x:name val="Arial"/>
    </x:font>
    <x:font>
      <x:b/>
      <x:sz val="10"/>
      <x:color rgb="FF008000"/>
      <x:name val="Arial"/>
    </x:font>
    <x:font>
      <x:sz val="9"/>
      <x:color rgb="FF6B7280"/>
      <x:name val="Arial"/>
    </x:font>
    <x:font>
      <x:sz val="9"/>
      <x:name val="Arial"/>
    </x:font>
    <x:font>
      <x:b/>
      <x:sz val="9"/>
      <x:name val="Arial"/>
    </x:font>
    <x:font>
      <x:sz val="11"/>
      <x:color theme="1"/>
      <x:name val="Calibri"/>
    </x:font>
    <x:font>
      <x:sz val="11"/>
      <x:color rgb="FFFFFFFF"/>
      <x:name val="Calibri"/>
    </x:font>
    <x:font>
      <x:sz val="11"/>
      <x:color rgb="FF1F2937"/>
      <x:name val="Calibri"/>
    </x:font>
    <x:font>
      <x:sz val="9"/>
      <x:color rgb="FF1F2937"/>
      <x:name val="Arial"/>
    </x:font>
    <x:font>
      <x:b/>
      <x:sz val="9"/>
      <x:color rgb="FF1F2937"/>
      <x:name val="Arial"/>
    </x:font>
    <x:font>
      <x:sz val="11"/>
      <x:color rgb="FF1F2937"/>
      <x:name val="Calibri"/>
    </x:font>
    <x:font>
      <x:sz val="11"/>
      <x:color rgb="FF1F2937"/>
      <x:name val="Calibri"/>
    </x:font>
  </x:fonts>
  <x:fills count="15">
    <x:fill>
      <x:patternFill patternType="none"/>
    </x:fill>
    <x:fill>
      <x:patternFill patternType="gray125"/>
    </x:fill>
    <x:fill>
      <x:patternFill patternType="solid">
        <x:fgColor rgb="FFFDECEA"/>
      </x:patternFill>
    </x:fill>
    <x:fill>
      <x:patternFill patternType="solid">
        <x:fgColor rgb="FF1E2761"/>
      </x:patternFill>
    </x:fill>
    <x:fill>
      <x:patternFill patternType="solid">
        <x:fgColor rgb="FFF2F4F8"/>
      </x:patternFill>
    </x:fill>
    <x:fill>
      <x:patternFill patternType="solid">
        <x:fgColor rgb="FF14415A"/>
      </x:patternFill>
    </x:fill>
    <x:fill>
      <x:patternFill patternType="solid">
        <x:fgColor rgb="FF6B2C2C"/>
      </x:patternFill>
    </x:fill>
    <x:fill>
      <x:patternFill patternType="solid">
        <x:fgColor rgb="FF7A3B00"/>
      </x:patternFill>
    </x:fill>
    <x:fill>
      <x:patternFill patternType="solid">
        <x:fgColor rgb="FFE4F2E8"/>
      </x:patternFill>
    </x:fill>
    <x:fill>
      <x:patternFill patternType="solid">
        <x:fgColor rgb="FFFBEEDD"/>
      </x:patternFill>
    </x:fill>
    <x:fill>
      <x:patternFill patternType="solid">
        <x:fgColor rgb="FFECECEE"/>
      </x:patternFill>
    </x:fill>
    <x:fill>
      <x:patternFill patternType="solid">
        <x:fgColor rgb="FFE7EEF7"/>
      </x:patternFill>
    </x:fill>
    <x:fill>
      <x:patternFill patternType="solid">
        <x:fgColor rgb="FFFFFF00"/>
      </x:patternFill>
    </x:fill>
    <x:fill>
      <x:patternFill patternType="solid">
        <x:fgColor rgb="FF17365D"/>
      </x:patternFill>
    </x:fill>
    <x:fill>
      <x:patternFill patternType="solid">
        <x:fgColor rgb="FF17365D"/>
      </x:patternFill>
    </x:fill>
  </x:fills>
  <x:borders count="3">
    <x:border diagonalUp="0" diagonalDown="0"/>
    <x:border diagonalUp="0" diagonalDown="0">
      <x:left style="thin">
        <x:color rgb="FFD0D5DD"/>
      </x:left>
      <x:top style="thin">
        <x:color rgb="FFD0D5DD"/>
      </x:top>
    </x:border>
    <x:border diagonalUp="0" diagonalDown="0">
      <x:left style="thin">
        <x:color rgb="FFD0D5DD"/>
      </x:left>
      <x:right style="thin">
        <x:color rgb="FFD0D5DD"/>
      </x:right>
      <x:top style="thin">
        <x:color rgb="FFD0D5DD"/>
      </x:top>
      <x:bottom style="thin">
        <x:color rgb="FFD0D5DD"/>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154">
    <x:xf numFmtId="164" fontId="0" fillId="0" borderId="0" xfId="0" applyFont="0" applyBorder="0" applyAlignment="0">
      <x:alignment horizontal="general" vertical="bottom" wrapText="0"/>
    </x:xf>
    <x:xf numFmtId="164" fontId="0" fillId="0" borderId="0" xfId="0" applyFont="0" applyBorder="0" applyAlignment="1">
      <x:alignment horizontal="general" vertical="bottom" wrapText="0"/>
    </x:xf>
    <x:xf numFmtId="164" fontId="4" fillId="0" borderId="0" xfId="0" applyFont="1" applyBorder="0" applyAlignment="1">
      <x:alignment horizontal="general" vertical="bottom" wrapText="0"/>
    </x:xf>
    <x:xf numFmtId="164" fontId="5" fillId="0" borderId="0" xfId="0" applyFont="1" applyBorder="0" applyAlignment="1">
      <x:alignment horizontal="general" vertical="bottom" wrapText="0"/>
    </x:xf>
    <x:xf numFmtId="164" fontId="6" fillId="2" borderId="1" xfId="0" applyFont="1" applyBorder="1" applyAlignment="1">
      <x:alignment horizontal="general" vertical="top" wrapText="1"/>
    </x:xf>
    <x:xf numFmtId="164" fontId="7" fillId="0" borderId="0" xfId="0" applyFont="1" applyBorder="0" applyAlignment="1">
      <x:alignment horizontal="general" vertical="bottom" wrapText="0"/>
    </x:xf>
    <x:xf numFmtId="164" fontId="8" fillId="0" borderId="0" xfId="0" applyFont="1" applyBorder="0" applyAlignment="1">
      <x:alignment horizontal="general" vertical="bottom" wrapText="0"/>
    </x:xf>
    <x:xf numFmtId="164" fontId="9" fillId="0" borderId="0" xfId="0" applyFont="1" applyBorder="0" applyAlignment="1">
      <x:alignment horizontal="general" vertical="bottom" wrapText="1"/>
    </x:xf>
    <x:xf numFmtId="164" fontId="9" fillId="0" borderId="0" xfId="0" applyFont="1" applyBorder="0" applyAlignment="1">
      <x:alignment horizontal="general" vertical="bottom" wrapText="0"/>
    </x:xf>
    <x:xf numFmtId="164" fontId="6" fillId="0" borderId="0" xfId="0" applyFont="1" applyBorder="0" applyAlignment="1">
      <x:alignment horizontal="general" vertical="bottom" wrapText="0"/>
    </x:xf>
    <x:xf numFmtId="164" fontId="9" fillId="0" borderId="0" xfId="0" applyFont="1" applyBorder="0" applyAlignment="1">
      <x:alignment horizontal="general" vertical="top" wrapText="1"/>
    </x:xf>
    <x:xf numFmtId="164" fontId="10" fillId="0" borderId="0" xfId="0" applyFont="1" applyBorder="0" applyAlignment="1">
      <x:alignment horizontal="general" vertical="bottom" wrapText="0"/>
    </x:xf>
    <x:xf numFmtId="164" fontId="11" fillId="0" borderId="0" xfId="0" applyFont="1" applyBorder="1" applyAlignment="1">
      <x:alignment horizontal="general" vertical="top" wrapText="1"/>
    </x:xf>
    <x:xf numFmtId="164" fontId="12" fillId="0" borderId="0" xfId="0" applyFont="1" applyBorder="0" applyAlignment="0">
      <x:alignment horizontal="general" vertical="bottom" wrapText="0"/>
    </x:xf>
    <x:xf numFmtId="164" fontId="13" fillId="0" borderId="0" xfId="0" applyFont="1" applyBorder="0" applyAlignment="0">
      <x:alignment horizontal="general" vertical="bottom" wrapText="0"/>
    </x:xf>
    <x:xf numFmtId="164" fontId="14" fillId="3" borderId="0" xfId="0" applyFont="1" applyBorder="1" applyAlignment="1">
      <x:alignment horizontal="general" vertical="center" wrapText="0"/>
    </x:xf>
    <x:xf numFmtId="164" fontId="15" fillId="3" borderId="2" xfId="0" applyFont="1" applyBorder="1" applyAlignment="1">
      <x:alignment horizontal="general" vertical="center" wrapText="1"/>
    </x:xf>
    <x:xf numFmtId="164" fontId="11" fillId="4" borderId="2" xfId="0" applyFont="1" applyBorder="1" applyAlignment="1">
      <x:alignment horizontal="general" vertical="top" wrapText="1"/>
    </x:xf>
    <x:xf numFmtId="164" fontId="11" fillId="0" borderId="2" xfId="0" applyFont="1" applyBorder="1" applyAlignment="1">
      <x:alignment horizontal="general" vertical="top" wrapText="1"/>
    </x:xf>
    <x:xf numFmtId="164" fontId="14" fillId="5" borderId="0" xfId="0" applyFont="1" applyBorder="1" applyAlignment="1">
      <x:alignment horizontal="general" vertical="center" wrapText="0"/>
    </x:xf>
    <x:xf numFmtId="164" fontId="14" fillId="6" borderId="0" xfId="0" applyFont="1" applyBorder="1" applyAlignment="1">
      <x:alignment horizontal="general" vertical="center" wrapText="0"/>
    </x:xf>
    <x:xf numFmtId="164" fontId="14" fillId="7" borderId="0" xfId="0" applyFont="1" applyBorder="1" applyAlignment="1">
      <x:alignment horizontal="general" vertical="center" wrapText="0"/>
    </x:xf>
    <x:xf numFmtId="164" fontId="6" fillId="0" borderId="0" xfId="0" applyFont="1" applyBorder="0" applyAlignment="0">
      <x:alignment horizontal="general" vertical="bottom" wrapText="0"/>
    </x:xf>
    <x:xf numFmtId="164" fontId="15" fillId="5" borderId="0" xfId="0" applyFont="1" applyBorder="1" applyAlignment="1">
      <x:alignment horizontal="general" vertical="center" wrapText="1"/>
    </x:xf>
    <x:xf numFmtId="164" fontId="15" fillId="5" borderId="2" xfId="0" applyFont="1" applyBorder="1" applyAlignment="1">
      <x:alignment horizontal="general" vertical="center" wrapText="1"/>
    </x:xf>
    <x:xf numFmtId="165" fontId="11" fillId="0" borderId="2" xfId="0" applyFont="1" applyBorder="1" applyAlignment="1">
      <x:alignment horizontal="general" vertical="top" wrapText="1"/>
    </x:xf>
    <x:xf numFmtId="166" fontId="11" fillId="0" borderId="2" xfId="0" applyFont="1" applyBorder="1" applyAlignment="1">
      <x:alignment horizontal="general" vertical="top" wrapText="1"/>
    </x:xf>
    <x:xf numFmtId="164" fontId="16" fillId="0" borderId="2" xfId="0" applyFont="1" applyBorder="1" applyAlignment="1">
      <x:alignment horizontal="general" vertical="top" wrapText="1"/>
    </x:xf>
    <x:xf numFmtId="164" fontId="17" fillId="8" borderId="2" xfId="0" applyFont="1" applyBorder="1" applyAlignment="1">
      <x:alignment horizontal="general" vertical="top" wrapText="1"/>
    </x:xf>
    <x:xf numFmtId="165" fontId="11" fillId="4" borderId="2" xfId="0" applyFont="1" applyBorder="1" applyAlignment="1">
      <x:alignment horizontal="general" vertical="top" wrapText="1"/>
    </x:xf>
    <x:xf numFmtId="166" fontId="11" fillId="4" borderId="2" xfId="0" applyFont="1" applyBorder="1" applyAlignment="1">
      <x:alignment horizontal="general" vertical="top" wrapText="1"/>
    </x:xf>
    <x:xf numFmtId="164" fontId="16" fillId="4" borderId="2" xfId="0" applyFont="1" applyBorder="1" applyAlignment="1">
      <x:alignment horizontal="general" vertical="top" wrapText="1"/>
    </x:xf>
    <x:xf numFmtId="164" fontId="17" fillId="9" borderId="2" xfId="0" applyFont="1" applyBorder="1" applyAlignment="1">
      <x:alignment horizontal="general" vertical="top" wrapText="1"/>
    </x:xf>
    <x:xf numFmtId="164" fontId="17" fillId="10" borderId="2" xfId="0" applyFont="1" applyBorder="1" applyAlignment="1">
      <x:alignment horizontal="general" vertical="top" wrapText="1"/>
    </x:xf>
    <x:xf numFmtId="166" fontId="18" fillId="0" borderId="2" xfId="0" applyFont="1" applyBorder="1" applyAlignment="1">
      <x:alignment horizontal="general" vertical="top" wrapText="1"/>
    </x:xf>
    <x:xf numFmtId="164" fontId="18" fillId="0" borderId="2" xfId="0" applyFont="1" applyBorder="1" applyAlignment="1">
      <x:alignment horizontal="general" vertical="top" wrapText="1"/>
    </x:xf>
    <x:xf numFmtId="164" fontId="17" fillId="11" borderId="2" xfId="0" applyFont="1" applyBorder="1" applyAlignment="1">
      <x:alignment horizontal="general" vertical="top" wrapText="1"/>
    </x:xf>
    <x:xf numFmtId="164" fontId="12" fillId="0" borderId="0" xfId="0" applyFont="1" applyBorder="0" applyAlignment="1">
      <x:alignment horizontal="general" vertical="bottom" wrapText="0"/>
    </x:xf>
    <x:xf numFmtId="164" fontId="13" fillId="0" borderId="0" xfId="0" applyFont="1" applyBorder="0" applyAlignment="1">
      <x:alignment horizontal="general" vertical="bottom" wrapText="0"/>
    </x:xf>
    <x:xf numFmtId="164" fontId="15" fillId="3" borderId="2" xfId="0" applyFont="1" applyBorder="1" applyAlignment="1">
      <x:alignment horizontal="general" vertical="center" wrapText="0"/>
    </x:xf>
    <x:xf numFmtId="164" fontId="18" fillId="0" borderId="0" xfId="0" applyFont="1" applyBorder="1" applyAlignment="1">
      <x:alignment horizontal="general" vertical="top" wrapText="1"/>
    </x:xf>
    <x:xf numFmtId="164" fontId="15" fillId="6" borderId="0" xfId="0" applyFont="1" applyBorder="1" applyAlignment="1">
      <x:alignment horizontal="general" vertical="center" wrapText="1"/>
    </x:xf>
    <x:xf numFmtId="164" fontId="15" fillId="6" borderId="2" xfId="0" applyFont="1" applyBorder="1" applyAlignment="1">
      <x:alignment horizontal="general" vertical="center" wrapText="1"/>
    </x:xf>
    <x:xf numFmtId="164" fontId="15" fillId="7" borderId="2" xfId="0" applyFont="1" applyBorder="1" applyAlignment="1">
      <x:alignment horizontal="general" vertical="center" wrapText="1"/>
    </x:xf>
    <x:xf numFmtId="164" fontId="20" fillId="0" borderId="2" xfId="0" applyFont="1" applyBorder="1" applyAlignment="1">
      <x:alignment horizontal="general" vertical="top" wrapText="1"/>
    </x:xf>
    <x:xf numFmtId="164" fontId="20" fillId="8" borderId="2" xfId="0" applyFont="1" applyBorder="1" applyAlignment="1">
      <x:alignment horizontal="general" vertical="top" wrapText="1"/>
    </x:xf>
    <x:xf numFmtId="164" fontId="14" fillId="3" borderId="2" xfId="0" applyFont="1" applyBorder="1" applyAlignment="1">
      <x:alignment horizontal="left" vertical="center" wrapText="1"/>
    </x:xf>
    <x:xf numFmtId="165" fontId="9" fillId="4" borderId="2" xfId="0" applyFont="1" applyBorder="1" applyAlignment="1">
      <x:alignment horizontal="general" vertical="top" wrapText="0"/>
    </x:xf>
    <x:xf numFmtId="164" fontId="9" fillId="4" borderId="2" xfId="0" applyFont="1" applyBorder="1" applyAlignment="1">
      <x:alignment horizontal="general" vertical="top" wrapText="0"/>
    </x:xf>
    <x:xf numFmtId="166" fontId="9" fillId="4" borderId="2" xfId="0" applyFont="1" applyBorder="1" applyAlignment="1">
      <x:alignment horizontal="general" vertical="top" wrapText="0"/>
    </x:xf>
    <x:xf numFmtId="165" fontId="9" fillId="0" borderId="2" xfId="0" applyFont="1" applyBorder="1" applyAlignment="1">
      <x:alignment horizontal="general" vertical="top" wrapText="0"/>
    </x:xf>
    <x:xf numFmtId="164" fontId="9" fillId="0" borderId="2" xfId="0" applyFont="1" applyBorder="1" applyAlignment="1">
      <x:alignment horizontal="general" vertical="top" wrapText="0"/>
    </x:xf>
    <x:xf numFmtId="166" fontId="9" fillId="0" borderId="2" xfId="0" applyFont="1" applyBorder="1" applyAlignment="1">
      <x:alignment horizontal="general" vertical="top" wrapText="0"/>
    </x:xf>
    <x:xf numFmtId="165" fontId="6" fillId="4" borderId="2" xfId="0" applyFont="1" applyBorder="1" applyAlignment="1">
      <x:alignment horizontal="general" vertical="top" wrapText="0"/>
    </x:xf>
    <x:xf numFmtId="165" fontId="6" fillId="0" borderId="2" xfId="0" applyFont="1" applyBorder="1" applyAlignment="1">
      <x:alignment horizontal="general" vertical="top" wrapText="0"/>
    </x:xf>
    <x:xf numFmtId="167" fontId="9" fillId="4" borderId="2" xfId="0" applyFont="1" applyBorder="1" applyAlignment="1">
      <x:alignment horizontal="general" vertical="top" wrapText="0"/>
    </x:xf>
    <x:xf numFmtId="164" fontId="10" fillId="0" borderId="2" xfId="0" applyFont="1" applyBorder="1" applyAlignment="1">
      <x:alignment horizontal="general" vertical="top" wrapText="0"/>
    </x:xf>
    <x:xf numFmtId="167" fontId="9" fillId="0" borderId="2" xfId="0" applyFont="1" applyBorder="1" applyAlignment="1">
      <x:alignment horizontal="general" vertical="top" wrapText="0"/>
    </x:xf>
    <x:xf numFmtId="164" fontId="10" fillId="4" borderId="2" xfId="0" applyFont="1" applyBorder="1" applyAlignment="1">
      <x:alignment horizontal="general" vertical="top" wrapText="0"/>
    </x:xf>
    <x:xf numFmtId="164" fontId="9" fillId="4" borderId="2" xfId="0" applyFont="1" applyBorder="1" applyAlignment="1">
      <x:alignment horizontal="general" vertical="top" wrapText="1"/>
    </x:xf>
    <x:xf numFmtId="164" fontId="9" fillId="0" borderId="2" xfId="0" applyFont="1" applyBorder="1" applyAlignment="1">
      <x:alignment horizontal="general" vertical="top" wrapText="1"/>
    </x:xf>
    <x:xf numFmtId="164" fontId="9" fillId="0" borderId="0" xfId="0" applyFont="1" applyBorder="1" applyAlignment="1">
      <x:alignment horizontal="general" vertical="top" wrapText="1"/>
    </x:xf>
    <x:xf numFmtId="164" fontId="14" fillId="3" borderId="2" xfId="0" applyFont="1" applyBorder="1" applyAlignment="1">
      <x:alignment horizontal="general" vertical="center" wrapText="1"/>
    </x:xf>
    <x:xf numFmtId="168" fontId="9" fillId="0" borderId="2" xfId="0" applyFont="1" applyBorder="1" applyAlignment="1">
      <x:alignment horizontal="general" vertical="top" wrapText="0"/>
    </x:xf>
    <x:xf numFmtId="168" fontId="9" fillId="4" borderId="2" xfId="0" applyFont="1" applyBorder="1" applyAlignment="1">
      <x:alignment horizontal="general" vertical="top" wrapText="0"/>
    </x:xf>
    <x:xf numFmtId="169" fontId="9" fillId="4" borderId="2" xfId="0" applyFont="1" applyBorder="1" applyAlignment="1">
      <x:alignment horizontal="general" vertical="top" wrapText="0"/>
    </x:xf>
    <x:xf numFmtId="169" fontId="9" fillId="0" borderId="2" xfId="0" applyFont="1" applyBorder="1" applyAlignment="1">
      <x:alignment horizontal="general" vertical="top" wrapText="0"/>
    </x:xf>
    <x:xf numFmtId="168" fontId="21" fillId="12" borderId="2" xfId="0" applyFont="1" applyBorder="1" applyAlignment="1">
      <x:alignment horizontal="general" vertical="bottom" wrapText="0"/>
    </x:xf>
    <x:xf numFmtId="170" fontId="21" fillId="0" borderId="0" xfId="0" applyFont="1" applyBorder="0" applyAlignment="1">
      <x:alignment horizontal="general" vertical="bottom" wrapText="0"/>
    </x:xf>
    <x:xf numFmtId="170" fontId="21" fillId="12" borderId="2" xfId="0" applyFont="1" applyBorder="1" applyAlignment="1">
      <x:alignment horizontal="general" vertical="bottom" wrapText="0"/>
    </x:xf>
    <x:xf numFmtId="170" fontId="22" fillId="0" borderId="0" xfId="0" applyFont="1" applyBorder="0" applyAlignment="1">
      <x:alignment horizontal="general" vertical="bottom" wrapText="0"/>
    </x:xf>
    <x:xf numFmtId="164" fontId="14" fillId="3" borderId="2" xfId="0" applyFont="1" applyBorder="1" applyAlignment="1">
      <x:alignment horizontal="center" vertical="center" wrapText="1"/>
    </x:xf>
    <x:xf numFmtId="164" fontId="9" fillId="0" borderId="2" xfId="0" applyFont="1" applyBorder="1" applyAlignment="1">
      <x:alignment horizontal="general" vertical="bottom" wrapText="0"/>
    </x:xf>
    <x:xf numFmtId="164" fontId="21" fillId="0" borderId="2" xfId="0" applyFont="1" applyBorder="1" applyAlignment="1">
      <x:alignment horizontal="general" vertical="bottom" wrapText="0"/>
    </x:xf>
    <x:xf numFmtId="168" fontId="21" fillId="0" borderId="2" xfId="0" applyFont="1" applyBorder="1" applyAlignment="1">
      <x:alignment horizontal="general" vertical="bottom" wrapText="0"/>
    </x:xf>
    <x:xf numFmtId="171" fontId="22" fillId="0" borderId="2" xfId="0" applyFont="1" applyBorder="1" applyAlignment="1">
      <x:alignment horizontal="general" vertical="bottom" wrapText="0"/>
    </x:xf>
    <x:xf numFmtId="170" fontId="22" fillId="0" borderId="2" xfId="0" applyFont="1" applyBorder="1" applyAlignment="1">
      <x:alignment horizontal="general" vertical="bottom" wrapText="0"/>
    </x:xf>
    <x:xf numFmtId="164" fontId="22" fillId="0" borderId="2" xfId="0" applyFont="1" applyBorder="1" applyAlignment="1">
      <x:alignment horizontal="general" vertical="bottom" wrapText="0"/>
    </x:xf>
    <x:xf numFmtId="172" fontId="22" fillId="0" borderId="2" xfId="0" applyFont="1" applyBorder="1" applyAlignment="1">
      <x:alignment horizontal="general" vertical="bottom" wrapText="0"/>
    </x:xf>
    <x:xf numFmtId="169" fontId="21" fillId="0" borderId="2" xfId="0" applyFont="1" applyBorder="1" applyAlignment="1">
      <x:alignment horizontal="general" vertical="bottom" wrapText="0"/>
    </x:xf>
    <x:xf numFmtId="169" fontId="22" fillId="0" borderId="2" xfId="0" applyFont="1" applyBorder="1" applyAlignment="1">
      <x:alignment horizontal="general" vertical="bottom" wrapText="0"/>
    </x:xf>
    <x:xf numFmtId="170" fontId="21" fillId="0" borderId="2" xfId="0" applyFont="1" applyBorder="1" applyAlignment="1">
      <x:alignment horizontal="general" vertical="bottom" wrapText="0"/>
    </x:xf>
    <x:xf numFmtId="172" fontId="8" fillId="0" borderId="2" xfId="0" applyFont="1" applyBorder="1" applyAlignment="1">
      <x:alignment horizontal="general" vertical="bottom" wrapText="0"/>
    </x:xf>
    <x:xf numFmtId="166" fontId="8" fillId="0" borderId="2" xfId="0" applyFont="1" applyBorder="1" applyAlignment="1">
      <x:alignment horizontal="general" vertical="bottom" wrapText="0"/>
    </x:xf>
    <x:xf numFmtId="165" fontId="23" fillId="0" borderId="0" xfId="0" applyFont="1" applyBorder="0" applyAlignment="1">
      <x:alignment horizontal="general" vertical="bottom" wrapText="0"/>
    </x:xf>
    <x:xf numFmtId="164" fontId="10" fillId="4" borderId="2" xfId="0" applyFont="1" applyBorder="1" applyAlignment="1">
      <x:alignment horizontal="general" vertical="top" wrapText="1"/>
    </x:xf>
    <x:xf numFmtId="164" fontId="10" fillId="0" borderId="2" xfId="0" applyFont="1" applyBorder="1" applyAlignment="1">
      <x:alignment horizontal="general" vertical="top" wrapText="1"/>
    </x:xf>
    <x:xf numFmtId="164" fontId="21" fillId="0" borderId="0" xfId="0" applyFont="1" applyBorder="0" applyAlignment="1">
      <x:alignment horizontal="general" vertical="bottom" wrapText="0"/>
    </x:xf>
    <x:xf numFmtId="164" fontId="0" fillId="0"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top" wrapText="1"/>
    </x:xf>
    <x:xf numFmtId="200" fontId="0" fillId="0" borderId="0" xfId="0" applyNumberFormat="1" applyFont="1" applyFill="1" applyBorder="1" applyAlignment="1">
      <x:alignment horizontal="general" vertical="top" wrapText="1"/>
    </x:xf>
    <x:xf numFmtId="164" fontId="24" fillId="4" borderId="2" xfId="0" applyNumberFormat="1" applyFont="1" applyFill="1" applyBorder="1" applyAlignment="1">
      <x:alignment horizontal="general" vertical="top" wrapText="1"/>
    </x:xf>
    <x:xf numFmtId="164" fontId="25" fillId="4" borderId="2" xfId="0" applyNumberFormat="1" applyFont="1" applyFill="1" applyBorder="1" applyAlignment="1">
      <x:alignment horizontal="general" vertical="top" wrapText="1"/>
    </x:xf>
    <x:xf numFmtId="164" fontId="26" fillId="11" borderId="2" xfId="0" applyNumberFormat="1" applyFont="1" applyFill="1" applyBorder="1" applyAlignment="1">
      <x:alignment horizontal="general" vertical="top" wrapText="1"/>
    </x:xf>
    <x:xf numFmtId="164" fontId="24" fillId="0" borderId="2" xfId="0" applyNumberFormat="1" applyFont="1" applyFill="1" applyBorder="1" applyAlignment="1">
      <x:alignment horizontal="general" vertical="top" wrapText="1"/>
    </x:xf>
    <x:xf numFmtId="164" fontId="25" fillId="0" borderId="2" xfId="0" applyNumberFormat="1" applyFont="1" applyFill="1" applyBorder="1" applyAlignment="1">
      <x:alignment horizontal="general" vertical="top" wrapText="1"/>
    </x:xf>
    <x:xf numFmtId="200" fontId="17" fillId="9" borderId="2" xfId="0" applyNumberFormat="1" applyFont="1" applyFill="1" applyBorder="1" applyAlignment="1">
      <x:alignment horizontal="general" vertical="top" wrapText="1"/>
    </x:xf>
    <x:xf numFmtId="200" fontId="17" fillId="8" borderId="2" xfId="0" applyNumberFormat="1" applyFont="1" applyFill="1" applyBorder="1" applyAlignment="1">
      <x:alignment horizontal="general" vertical="top" wrapText="1"/>
    </x:xf>
    <x:xf numFmtId="200" fontId="26" fillId="11" borderId="2" xfId="0" applyNumberFormat="1" applyFont="1" applyFill="1" applyBorder="1" applyAlignment="1">
      <x:alignment horizontal="general" vertical="top" wrapText="1"/>
    </x:xf>
    <x:xf numFmtId="164" fontId="27" fillId="0" borderId="0" xfId="0" applyNumberFormat="1" applyFont="1" applyFill="1" applyBorder="1" applyAlignment="1">
      <x:alignment horizontal="general" vertical="bottom" wrapText="0"/>
    </x:xf>
    <x:xf numFmtId="200" fontId="27" fillId="0" borderId="0" xfId="0" applyNumberFormat="1" applyFont="1" applyFill="1" applyBorder="1" applyAlignment="1">
      <x:alignment horizontal="general" vertical="bottom" wrapText="0"/>
    </x:xf>
    <x:xf numFmtId="201" fontId="27" fillId="0" borderId="0" xfId="0" applyNumberFormat="1" applyFont="1" applyFill="1" applyBorder="1" applyAlignment="1">
      <x:alignment horizontal="general" vertical="bottom" wrapText="0"/>
    </x:xf>
    <x:xf numFmtId="164" fontId="0" fillId="13" borderId="0" xfId="0" applyNumberFormat="1" applyFont="1" applyFill="1" applyBorder="1" applyAlignment="1">
      <x:alignment horizontal="general" vertical="bottom" wrapText="0"/>
    </x:xf>
    <x:xf numFmtId="164" fontId="28" fillId="13" borderId="0" xfId="0" applyNumberFormat="1" applyFont="1" applyFill="1" applyBorder="1" applyAlignment="1">
      <x:alignment horizontal="general" vertical="bottom" wrapText="0"/>
    </x:xf>
    <x:xf numFmtId="165" fontId="0" fillId="0" borderId="0" xfId="0" applyNumberFormat="1" applyFont="1" applyFill="1" applyBorder="1" applyAlignment="1">
      <x:alignment horizontal="general" vertical="bottom" wrapText="1"/>
    </x:xf>
    <x:xf numFmtId="200" fontId="0" fillId="0" borderId="0" xfId="0" applyNumberFormat="1" applyFont="1" applyFill="1" applyBorder="1" applyAlignment="1">
      <x:alignment horizontal="general" vertical="bottom" wrapText="1"/>
    </x:xf>
    <x:xf numFmtId="164" fontId="28" fillId="13" borderId="0" xfId="0" applyNumberFormat="1" applyFont="1" applyFill="1" applyBorder="1" applyAlignment="1">
      <x:alignment horizontal="general" vertical="bottom" wrapText="1"/>
    </x:xf>
    <x:xf numFmtId="165" fontId="29" fillId="0" borderId="0" xfId="0" applyNumberFormat="1" applyFont="1" applyFill="1" applyBorder="1" applyAlignment="1">
      <x:alignment horizontal="general" vertical="bottom" wrapText="1"/>
    </x:xf>
    <x:xf numFmtId="164" fontId="29" fillId="0" borderId="0" xfId="0" applyNumberFormat="1" applyFont="1" applyFill="1" applyBorder="1" applyAlignment="1">
      <x:alignment horizontal="general" vertical="bottom" wrapText="1"/>
    </x:xf>
    <x:xf numFmtId="200" fontId="29" fillId="0" borderId="0" xfId="0" applyNumberFormat="1" applyFont="1" applyFill="1" applyBorder="1" applyAlignment="1">
      <x:alignment horizontal="general" vertical="bottom" wrapText="1"/>
    </x:xf>
    <x:xf numFmtId="165" fontId="29" fillId="0" borderId="0" xfId="0" applyNumberFormat="1" applyFont="1" applyFill="1" applyBorder="1" applyAlignment="1">
      <x:alignment horizontal="general" vertical="top" wrapText="1"/>
    </x:xf>
    <x:xf numFmtId="164" fontId="29" fillId="0" borderId="0" xfId="0" applyNumberFormat="1" applyFont="1" applyFill="1" applyBorder="1" applyAlignment="1">
      <x:alignment horizontal="general" vertical="top" wrapText="1"/>
    </x:xf>
    <x:xf numFmtId="200" fontId="29" fillId="0" borderId="0" xfId="0" applyNumberFormat="1" applyFont="1" applyFill="1" applyBorder="1" applyAlignment="1">
      <x:alignment horizontal="general" vertical="top" wrapText="1"/>
    </x:xf>
    <x:xf numFmtId="164" fontId="30" fillId="0" borderId="2" xfId="0" applyNumberFormat="1" applyFont="1" applyFill="1" applyBorder="1" applyAlignment="1">
      <x:alignment horizontal="general" vertical="top" wrapText="1"/>
    </x:xf>
    <x:xf numFmtId="200" fontId="31" fillId="11" borderId="2" xfId="0" applyNumberFormat="1" applyFont="1" applyFill="1" applyBorder="1" applyAlignment="1">
      <x:alignment horizontal="general" vertical="top" wrapText="1"/>
    </x:xf>
    <x:xf numFmtId="164" fontId="32" fillId="0" borderId="0" xfId="0" applyNumberFormat="1" applyFont="1" applyFill="1" applyBorder="1" applyAlignment="1">
      <x:alignment horizontal="general" vertical="bottom" wrapText="0"/>
    </x:xf>
    <x:xf numFmtId="201" fontId="32" fillId="0" borderId="0" xfId="0" applyNumberFormat="1" applyFont="1" applyFill="1" applyBorder="1" applyAlignment="1">
      <x:alignment horizontal="general" vertical="bottom" wrapText="0"/>
    </x:xf>
    <x:xf numFmtId="200" fontId="32" fillId="0" borderId="0" xfId="0" applyNumberFormat="1" applyFont="1" applyFill="1" applyBorder="1" applyAlignment="1">
      <x:alignment horizontal="general" vertical="bottom" wrapText="0"/>
    </x:xf>
    <x:xf numFmtId="164" fontId="32" fillId="0" borderId="0" xfId="0" applyNumberFormat="1" applyFont="1" applyFill="1" applyBorder="1" applyAlignment="1">
      <x:alignment horizontal="general" vertical="top" wrapText="0"/>
    </x:xf>
    <x:xf numFmtId="201" fontId="32" fillId="0" borderId="0" xfId="0" applyNumberFormat="1" applyFont="1" applyFill="1" applyBorder="1" applyAlignment="1">
      <x:alignment horizontal="general" vertical="top" wrapText="0"/>
    </x:xf>
    <x:xf numFmtId="200" fontId="32" fillId="0" borderId="0" xfId="0" applyNumberFormat="1" applyFont="1" applyFill="1" applyBorder="1" applyAlignment="1">
      <x:alignment horizontal="general" vertical="top" wrapText="0"/>
    </x:xf>
    <x:xf numFmtId="164" fontId="30" fillId="4" borderId="2" xfId="0" applyNumberFormat="1" applyFont="1" applyFill="1" applyBorder="1" applyAlignment="1">
      <x:alignment horizontal="general" vertical="top" wrapText="1"/>
    </x:xf>
    <x:xf numFmtId="164" fontId="31" fillId="11" borderId="2" xfId="0" applyNumberFormat="1" applyFont="1" applyFill="1" applyBorder="1" applyAlignment="1">
      <x:alignment horizontal="general" vertical="top" wrapText="1"/>
    </x:xf>
    <x:xf numFmtId="202" fontId="0" fillId="0" borderId="0" xfId="0" applyNumberFormat="1" applyFont="1" applyFill="1" applyBorder="1" applyAlignment="1">
      <x:alignment horizontal="general" vertical="top" wrapText="1"/>
    </x:xf>
    <x:xf numFmtId="164" fontId="0" fillId="14" borderId="0" xfId="0" applyNumberFormat="1" applyFont="1" applyFill="1" applyBorder="1" applyAlignment="1">
      <x:alignment horizontal="general" vertical="top" wrapText="1"/>
    </x:xf>
    <x:xf numFmtId="164" fontId="28" fillId="14" borderId="0" xfId="0" applyNumberFormat="1" applyFont="1" applyFill="1" applyBorder="1" applyAlignment="1">
      <x:alignment horizontal="general" vertical="top" wrapText="1"/>
    </x:xf>
    <x:xf numFmtId="202" fontId="1" fillId="4" borderId="2" xfId="0" applyNumberFormat="1" applyFont="1" applyFill="1" applyBorder="1" applyAlignment="1">
      <x:alignment horizontal="general" vertical="top" wrapText="0"/>
    </x:xf>
    <x:xf numFmtId="202" fontId="1" fillId="0" borderId="2" xfId="0" applyNumberFormat="1" applyFont="1" applyFill="1" applyBorder="1" applyAlignment="1">
      <x:alignment horizontal="general" vertical="top" wrapText="0"/>
    </x:xf>
    <x:xf numFmtId="202" fontId="0" fillId="0" borderId="0" xfId="0" applyNumberFormat="1" applyFont="1" applyFill="1" applyBorder="1" applyAlignment="1">
      <x:alignment horizontal="general" vertical="bottom" wrapText="0"/>
    </x:xf>
    <x:xf numFmtId="202" fontId="0" fillId="0" borderId="0" xfId="0" applyNumberFormat="1" applyFont="1" applyFill="1" applyBorder="1" applyAlignment="1">
      <x:alignment horizontal="general" vertical="bottom" wrapText="1"/>
    </x:xf>
    <x:xf numFmtId="171" fontId="29" fillId="0" borderId="0" xfId="0" applyNumberFormat="1" applyFont="1" applyFill="1" applyBorder="1" applyAlignment="1">
      <x:alignment horizontal="general" vertical="top" wrapText="0"/>
    </x:xf>
    <x:xf numFmtId="164" fontId="29" fillId="0" borderId="0" xfId="0" applyNumberFormat="1" applyFont="1" applyFill="1" applyBorder="1" applyAlignment="1">
      <x:alignment horizontal="general" vertical="top" wrapText="0"/>
    </x:xf>
    <x:xf numFmtId="164" fontId="11" fillId="0" borderId="2" xfId="0" applyNumberFormat="1" applyFont="1" applyFill="1" applyBorder="1" applyAlignment="1">
      <x:alignment horizontal="general" vertical="top" wrapText="1"/>
    </x:xf>
    <x:xf numFmtId="164" fontId="17" fillId="8" borderId="2" xfId="0" applyNumberFormat="1" applyFont="1" applyFill="1" applyBorder="1" applyAlignment="1">
      <x:alignment horizontal="general" vertical="top" wrapText="1"/>
    </x:xf>
    <x:xf numFmtId="164" fontId="17" fillId="9" borderId="2" xfId="0" applyNumberFormat="1" applyFont="1" applyFill="1" applyBorder="1" applyAlignment="1">
      <x:alignment horizontal="general" vertical="top" wrapText="1"/>
    </x:xf>
    <x:xf numFmtId="164" fontId="16" fillId="0" borderId="2" xfId="0" applyNumberFormat="1" applyFont="1" applyFill="1" applyBorder="1" applyAlignment="1">
      <x:alignment horizontal="general" vertical="top" wrapText="1"/>
    </x:xf>
    <x:xf numFmtId="164" fontId="17" fillId="10" borderId="2" xfId="0" applyNumberFormat="1" applyFont="1" applyFill="1" applyBorder="1" applyAlignment="1">
      <x:alignment horizontal="general" vertical="top" wrapText="1"/>
    </x:xf>
    <x:xf numFmtId="164" fontId="20" fillId="0" borderId="2" xfId="0" applyNumberFormat="1" applyFont="1" applyFill="1" applyBorder="1" applyAlignment="1">
      <x:alignment horizontal="general" vertical="top" wrapText="1"/>
    </x:xf>
    <x:xf numFmtId="164" fontId="20" fillId="8" borderId="2" xfId="0" applyNumberFormat="1" applyFont="1" applyFill="1" applyBorder="1" applyAlignment="1">
      <x:alignment horizontal="general" vertical="top" wrapText="1"/>
    </x:xf>
    <x:xf numFmtId="164" fontId="17" fillId="11" borderId="2" xfId="0" applyNumberFormat="1" applyFont="1" applyFill="1" applyBorder="1" applyAlignment="1">
      <x:alignment horizontal="general" vertical="top" wrapText="1"/>
    </x:xf>
    <x:xf numFmtId="200" fontId="17" fillId="10" borderId="2" xfId="0" applyNumberFormat="1" applyFont="1" applyFill="1" applyBorder="1" applyAlignment="1">
      <x:alignment horizontal="general" vertical="top" wrapText="1"/>
    </x:xf>
    <x:xf numFmtId="200" fontId="20" fillId="8" borderId="2" xfId="0" applyNumberFormat="1" applyFont="1" applyFill="1" applyBorder="1" applyAlignment="1">
      <x:alignment horizontal="general" vertical="top" wrapText="1"/>
    </x:xf>
    <x:xf numFmtId="200" fontId="17" fillId="11" borderId="2" xfId="0" applyNumberFormat="1" applyFont="1" applyFill="1" applyBorder="1" applyAlignment="1">
      <x:alignment horizontal="general" vertical="top" wrapText="1"/>
    </x:xf>
    <x:xf numFmtId="171" fontId="29" fillId="0" borderId="0" xfId="0" applyNumberFormat="1" applyFont="1" applyFill="1" applyBorder="1" applyAlignment="1">
      <x:alignment horizontal="general" vertical="top" wrapText="1"/>
    </x:xf>
    <x:xf numFmtId="164" fontId="33" fillId="0" borderId="0" xfId="0" applyNumberFormat="1" applyFont="1" applyFill="1" applyBorder="1" applyAlignment="1">
      <x:alignment horizontal="general" vertical="top" wrapText="1"/>
    </x:xf>
    <x:xf numFmtId="171" fontId="33" fillId="0" borderId="0" xfId="0" applyNumberFormat="1" applyFont="1" applyFill="1" applyBorder="1" applyAlignment="1">
      <x:alignment horizontal="general" vertical="top" wrapText="1"/>
    </x:xf>
    <x:xf numFmtId="200" fontId="33" fillId="0" borderId="0" xfId="0" applyNumberFormat="1" applyFont="1" applyFill="1" applyBorder="1" applyAlignment="1">
      <x:alignment horizontal="general" vertical="top" wrapText="1"/>
    </x:xf>
    <x:xf numFmtId="164" fontId="11" fillId="4" borderId="2" xfId="0" applyNumberFormat="1" applyFont="1" applyFill="1" applyBorder="1" applyAlignment="1">
      <x:alignment horizontal="general" vertical="top" wrapText="1"/>
    </x:xf>
    <x:xf numFmtId="164" fontId="16" fillId="4" borderId="2" xfId="0" applyNumberFormat="1" applyFont="1" applyFill="1" applyBorder="1" applyAlignment="1">
      <x:alignment horizontal="general" vertical="top" wrapText="1"/>
    </x:xf>
    <x:xf numFmtId="164" fontId="18" fillId="0" borderId="2" xfId="0" applyNumberFormat="1" applyFont="1" applyFill="1" applyBorder="1" applyAlignment="1">
      <x:alignment horizontal="general" vertical="top" wrapText="1"/>
    </x:xf>
    <x:xf numFmtId="200" fontId="0" fillId="0" borderId="0" xfId="0" applyNumberFormat="1" applyFont="1" applyFill="1" applyBorder="1" applyAlignment="1">
      <x:alignment horizontal="general" vertical="bottom" wrapText="0"/>
    </x:xf>
    <x:xf numFmtId="165" fontId="11" fillId="0" borderId="2" xfId="0" applyNumberFormat="1" applyFont="1" applyFill="1" applyBorder="1" applyAlignment="1">
      <x:alignment horizontal="general" vertical="top" wrapText="1"/>
    </x:xf>
    <x:xf numFmtId="165" fontId="11" fillId="4" borderId="2" xfId="0" applyNumberFormat="1" applyFont="1" applyFill="1" applyBorder="1" applyAlignment="1">
      <x:alignment horizontal="general" vertical="top" wrapText="1"/>
    </x:xf>
    <x:xf numFmtId="164" fontId="11" fillId="0" borderId="0"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dxfs count="5">
    <x:dxf>
      <x:fill>
        <x:patternFill>
          <x:bgColor rgb="FFDCEEDC"/>
        </x:patternFill>
      </x:fill>
    </x:dxf>
    <x:dxf>
      <x:fill>
        <x:patternFill>
          <x:bgColor rgb="FFFFF2CC"/>
        </x:patternFill>
      </x:fill>
    </x:dxf>
    <x:dxf>
      <x:fill>
        <x:patternFill>
          <x:bgColor rgb="FFFCE4D6"/>
        </x:patternFill>
      </x:fill>
    </x:dxf>
    <x:dxf>
      <x:fill>
        <x:patternFill>
          <x:bgColor rgb="FFF2F2F2"/>
        </x:patternFill>
      </x:fill>
    </x:dxf>
    <x:dxf>
      <x:fill>
        <x:patternFill>
          <x:bgColor rgb="FFE2EAF5"/>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1E7A46"/>
      <x:rgbColor rgb="FFC0C0C0"/>
      <x:rgbColor rgb="FF808080"/>
      <x:rgbColor rgb="FF9999FF"/>
      <x:rgbColor rgb="FFC0392B"/>
      <x:rgbColor rgb="FFFBEEDD"/>
      <x:rgbColor rgb="FFE4F2E8"/>
      <x:rgbColor rgb="FF660066"/>
      <x:rgbColor rgb="FFFF8080"/>
      <x:rgbColor rgb="FF0066CC"/>
      <x:rgbColor rgb="FFD0D5DD"/>
      <x:rgbColor rgb="FF000080"/>
      <x:rgbColor rgb="FFFF00FF"/>
      <x:rgbColor rgb="FFFFFF00"/>
      <x:rgbColor rgb="FF00FFFF"/>
      <x:rgbColor rgb="FF800080"/>
      <x:rgbColor rgb="FF800000"/>
      <x:rgbColor rgb="FF008080"/>
      <x:rgbColor rgb="FF0000FF"/>
      <x:rgbColor rgb="FF00CCFF"/>
      <x:rgbColor rgb="FFE7EEF7"/>
      <x:rgbColor rgb="FFECECEE"/>
      <x:rgbColor rgb="FFFDECEA"/>
      <x:rgbColor rgb="FF99CCFF"/>
      <x:rgbColor rgb="FFFF99CC"/>
      <x:rgbColor rgb="FFCC99FF"/>
      <x:rgbColor rgb="FFF2F4F8"/>
      <x:rgbColor rgb="FF3366FF"/>
      <x:rgbColor rgb="FF33CCCC"/>
      <x:rgbColor rgb="FF99CC00"/>
      <x:rgbColor rgb="FFFFCC00"/>
      <x:rgbColor rgb="FFFF9900"/>
      <x:rgbColor rgb="FFFF6600"/>
      <x:rgbColor rgb="FF6B7280"/>
      <x:rgbColor rgb="FF969696"/>
      <x:rgbColor rgb="FF14415A"/>
      <x:rgbColor rgb="FF339966"/>
      <x:rgbColor rgb="FF003300"/>
      <x:rgbColor rgb="FF333300"/>
      <x:rgbColor rgb="FF7A3B00"/>
      <x:rgbColor rgb="FF6B2C2C"/>
      <x:rgbColor rgb="FF333399"/>
      <x:rgbColor rgb="FF1E2761"/>
    </x:indexedColors>
  </x:colors>
</x:styleSheet>
</file>

<file path=xl/_rels/workbook.xml.rels>&#65279;<?xml version="1.0" encoding="utf-8"?><Relationships xmlns="http://schemas.openxmlformats.org/package/2006/relationships"><Relationship Type="http://schemas.openxmlformats.org/officeDocument/2006/relationships/styles" Target="/xl/styles.xml" Id="R2c7fe7a97b4e4a45" /><Relationship Type="http://schemas.openxmlformats.org/officeDocument/2006/relationships/theme" Target="/xl/theme/theme1.xml" Id="R79fbcc0ccdb647b4" /><Relationship Type="http://schemas.openxmlformats.org/officeDocument/2006/relationships/sharedStrings" Target="/xl/sharedStrings.xml" Id="Rb5cb1cb46d07465e" /><Relationship Type="http://schemas.openxmlformats.org/officeDocument/2006/relationships/worksheet" Target="/xl/worksheets/sheet1.xml" Id="R8efda2827f7c4509" /><Relationship Type="http://schemas.openxmlformats.org/officeDocument/2006/relationships/worksheet" Target="/xl/worksheets/sheet2.xml" Id="Rd9f8a7e6b02040a5" /><Relationship Type="http://schemas.openxmlformats.org/officeDocument/2006/relationships/worksheet" Target="/xl/worksheets/sheet3.xml" Id="R4ad4a4fbc5ae4ed5" /><Relationship Type="http://schemas.openxmlformats.org/officeDocument/2006/relationships/worksheet" Target="/xl/worksheets/sheet4.xml" Id="Rabb4d4b8590648a5" /><Relationship Type="http://schemas.openxmlformats.org/officeDocument/2006/relationships/worksheet" Target="/xl/worksheets/sheet5.xml" Id="Re06df7018cfa4b0b" /><Relationship Type="http://schemas.openxmlformats.org/officeDocument/2006/relationships/worksheet" Target="/xl/worksheets/sheet6.xml" Id="Rfdf31407a4ca474f" /><Relationship Type="http://schemas.openxmlformats.org/officeDocument/2006/relationships/worksheet" Target="/xl/worksheets/sheet7.xml" Id="R8192644a2a1a43ca" /><Relationship Type="http://schemas.openxmlformats.org/officeDocument/2006/relationships/worksheet" Target="/xl/worksheets/sheet8.xml" Id="R3f40523e34ac4d36" /><Relationship Type="http://schemas.openxmlformats.org/officeDocument/2006/relationships/worksheet" Target="/xl/worksheets/sheet9.xml" Id="R6a537059fb5c4f35" /><Relationship Type="http://schemas.openxmlformats.org/officeDocument/2006/relationships/worksheet" Target="/xl/worksheets/sheet10.xml" Id="R08fe5493d8ae4f97" /><Relationship Type="http://schemas.openxmlformats.org/officeDocument/2006/relationships/worksheet" Target="/xl/worksheets/sheet11.xml" Id="Rcc9f237cea364212" /><Relationship Type="http://schemas.openxmlformats.org/officeDocument/2006/relationships/worksheet" Target="/xl/worksheets/sheet12.xml" Id="R11e36551a33049c4" /><Relationship Type="http://schemas.openxmlformats.org/officeDocument/2006/relationships/worksheet" Target="/xl/worksheets/sheet13.xml" Id="Re53e891434ab481c" /><Relationship Type="http://schemas.openxmlformats.org/officeDocument/2006/relationships/worksheet" Target="/xl/worksheets/sheet14.xml" Id="Re9d9096ba0e644d2" /><Relationship Type="http://schemas.openxmlformats.org/officeDocument/2006/relationships/worksheet" Target="/xl/worksheets/sheet15.xml" Id="Rfe7c8e95e36d4ad8" /><Relationship Type="http://schemas.openxmlformats.org/officeDocument/2006/relationships/worksheet" Target="/xl/worksheets/sheet16.xml" Id="Rf212e6cd83074f2a" /><Relationship Type="http://schemas.microsoft.com/office/2017/10/relationships/person" Target="/xl/persons/person.xml" Id="R0d1a3f2e7c91489a" /></Relationships>
</file>

<file path=xl/persons/person.xml><?xml version="1.0" encoding="utf-8"?>
<xltc:personList xmlns:xltc="http://schemas.microsoft.com/office/spreadsheetml/2018/threadedcomments">
  <xltc:person displayName="Unknown Author" id="{CF661CCC-D470-5C61-B7DA-A3D6BA889FAA}"/>
  <xltc:person displayName="Unknown Author" id="{E67EB942-2FA9-1F6D-C238-42D708516F91}"/>
  <xltc:person displayName="Unknown Author" id="{C7AF8582-3B05-6557-91F3-4F41ABF87301}"/>
  <xltc:person displayName="Unknown Author" id="{2F6D7B38-A179-27FD-78C2-FF515DC6C28C}"/>
  <xltc:person displayName="Unknown Author" id="{0B24BB14-D5EE-6049-7489-CFBB653FEB91}"/>
  <xltc:person displayName="Unknown Author" id="{4B9CD22F-4B64-D9D5-4F99-EE298B1C7D03}"/>
</xltc: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311b8904ea864a45" /><Relationship Type="http://schemas.openxmlformats.org/officeDocument/2006/relationships/vmlDrawing" Target="/xl/drawings/vmldrawing.vml" Id="R7f20ea2a11f1420f" /></Relationships>
</file>

<file path=xl/worksheets/_rels/sheet5.xml.rels>&#65279;<?xml version="1.0" encoding="utf-8"?><Relationships xmlns="http://schemas.openxmlformats.org/package/2006/relationships"><Relationship Type="http://schemas.openxmlformats.org/officeDocument/2006/relationships/comments" Target="/xl/comments2.xml" Id="Rc6f7ce3eb81f4161" /><Relationship Type="http://schemas.openxmlformats.org/officeDocument/2006/relationships/vmlDrawing" Target="/xl/drawings/vmldrawing2.vml" Id="R31cdd71ddaa74227" /></Relationships>
</file>

<file path=xl/worksheets/_rels/sheet6.xml.rels>&#65279;<?xml version="1.0" encoding="utf-8"?><Relationships xmlns="http://schemas.openxmlformats.org/package/2006/relationships"><Relationship Type="http://schemas.openxmlformats.org/officeDocument/2006/relationships/comments" Target="/xl/comments3.xml" Id="Rc9c079312ca94f63" /><Relationship Type="http://schemas.openxmlformats.org/officeDocument/2006/relationships/vmlDrawing" Target="/xl/drawings/vmldrawing3.vml" Id="R7cda0c67730c4b81" /></Relationships>
</file>

<file path=xl/worksheets/_rels/sheet7.xml.rels>&#65279;<?xml version="1.0" encoding="utf-8"?><Relationships xmlns="http://schemas.openxmlformats.org/package/2006/relationships"><Relationship Type="http://schemas.openxmlformats.org/officeDocument/2006/relationships/comments" Target="/xl/comments4.xml" Id="R1b7bef33289d46e2" /><Relationship Type="http://schemas.openxmlformats.org/officeDocument/2006/relationships/vmlDrawing" Target="/xl/drawings/vmldrawing4.vml" Id="R8ee918b58f864a74" /></Relationships>
</file>

<file path=xl/worksheets/_rels/sheet9.xml.rels>&#65279;<?xml version="1.0" encoding="utf-8"?><Relationships xmlns="http://schemas.openxmlformats.org/package/2006/relationships"><Relationship Type="http://schemas.openxmlformats.org/officeDocument/2006/relationships/comments" Target="/xl/comments5.xml" Id="R3914ad66a16a475d" /><Relationship Type="http://schemas.openxmlformats.org/officeDocument/2006/relationships/vmlDrawing" Target="/xl/drawings/vmldrawing5.vml" Id="R5892812b4e21470c" /></Relationships>
</file>

<file path=xl/worksheets/_rels/sheet10.xml.rels>&#65279;<?xml version="1.0" encoding="utf-8"?><Relationships xmlns="http://schemas.openxmlformats.org/package/2006/relationships"><Relationship Type="http://schemas.openxmlformats.org/officeDocument/2006/relationships/comments" Target="/xl/comments6.xml" Id="Rd18acefa6ed34a18" /><Relationship Type="http://schemas.openxmlformats.org/officeDocument/2006/relationships/vmlDrawing" Target="/xl/drawings/vmldrawing6.vml" Id="Rf9c4d36e31ea4f48" /></Relationships>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3" style="1" hidden="0" customWidth="1"/>
    <x:col min="2" max="2" width="30" style="1" hidden="0" customWidth="1"/>
    <x:col min="3" max="3" width="108" style="1" hidden="0" customWidth="1"/>
  </x:cols>
  <x:sheetData>
    <x:row r="2" ht="19.5" hidden="0" customHeight="1">
      <x:c r="B2" s="2" t="s">
        <x:v>0</x:v>
      </x:c>
    </x:row>
    <x:row r="3" ht="15" hidden="0" customHeight="1">
      <x:c r="B3" s="3" t="s">
        <x:v>1</x:v>
      </x:c>
    </x:row>
    <x:row r="5" ht="15" hidden="0" customHeight="1">
      <x:c r="B5" s="4" t="str">
        <x:v>RESEARCH WORKBOOK WITH SYNTHETIC DEMONSTRATION DATA
02_parts and 03_fitments contain synthetic rows only, with integer source 999. Sourced records are isolated in 02_real_parts and 03_real_fitments. Reject source 999 outside development.
Vehicle identity keys remain local sample references, not licensed VCdb mappings. Real parts and fitment assertions remain staged and unapproved. Source IDs map to 01b_sources. Conflicting evidence stays visible; standard-trim specs must not be inherited by Si or Type R.</x:v>
      </x:c>
      <x:c r="C5" s="4"/>
    </x:row>
    <x:row r="6" ht="15" hidden="0" customHeight="1">
      <x:c r="B6" s="4"/>
      <x:c r="C6" s="4"/>
    </x:row>
    <x:row r="7" ht="15" hidden="0" customHeight="1">
      <x:c r="B7" s="4"/>
      <x:c r="C7" s="4"/>
    </x:row>
    <x:row r="8" ht="15" hidden="0" customHeight="1">
      <x:c r="B8" s="4"/>
      <x:c r="C8" s="4"/>
    </x:row>
    <x:row r="9" ht="15" hidden="0" customHeight="1">
      <x:c r="B9" s="4"/>
      <x:c r="C9" s="4"/>
    </x:row>
    <x:row r="11" ht="15" hidden="0" customHeight="1">
      <x:c r="B11" s="5" t="s">
        <x:v>2</x:v>
      </x:c>
    </x:row>
    <x:row r="12" ht="15" hidden="0" customHeight="1">
      <x:c r="B12" s="6" t="s">
        <x:v>3</x:v>
      </x:c>
      <x:c r="C12" s="7" t="s">
        <x:v>4</x:v>
      </x:c>
    </x:row>
    <x:row r="13" ht="15" hidden="0" customHeight="1">
      <x:c r="B13" s="6" t="s">
        <x:v>5</x:v>
      </x:c>
      <x:c r="C13" s="7" t="s">
        <x:v>6</x:v>
      </x:c>
    </x:row>
    <x:row r="14" ht="15" hidden="0" customHeight="1">
      <x:c r="B14" s="6" t="s">
        <x:v>7</x:v>
      </x:c>
      <x:c r="C14" s="7" t="s">
        <x:v>8</x:v>
      </x:c>
    </x:row>
    <x:row r="15" ht="15" hidden="0" customHeight="1">
      <x:c r="B15" s="6" t="s">
        <x:v>9</x:v>
      </x:c>
      <x:c r="C15" s="7" t="s">
        <x:v>10</x:v>
      </x:c>
    </x:row>
    <x:row r="16" ht="15" hidden="0" customHeight="1">
      <x:c r="B16" s="6" t="s">
        <x:v>11</x:v>
      </x:c>
      <x:c r="C16" s="7" t="s">
        <x:v>12</x:v>
      </x:c>
    </x:row>
    <x:row r="18" ht="15" hidden="0" customHeight="1">
      <x:c r="B18" s="5" t="s">
        <x:v>13</x:v>
      </x:c>
    </x:row>
    <x:row r="19" ht="15" hidden="0" customHeight="1">
      <x:c r="B19" s="6" t="s">
        <x:v>14</x:v>
      </x:c>
      <x:c r="C19" s="8" t="str">
        <x:v>Vehicle configuration research. Existing 900xxx/910xxx/700xxx IDs are synthetic, not licensed VCdb exports.</x:v>
      </x:c>
    </x:row>
    <x:row r="20" ht="15" hidden="0" customHeight="1">
      <x:c r="B20" s="6" t="s">
        <x:v>15</x:v>
      </x:c>
      <x:c r="C20" s="8" t="s">
        <x:v>16</x:v>
      </x:c>
    </x:row>
    <x:row r="21" ht="15" hidden="0" customHeight="1">
      <x:c r="B21" s="6" t="s">
        <x:v>17</x:v>
      </x:c>
      <x:c r="C21" s="8" t="s">
        <x:v>18</x:v>
      </x:c>
    </x:row>
    <x:row r="22" ht="15" hidden="0" customHeight="1">
      <x:c r="B22" s="6" t="s">
        <x:v>19</x:v>
      </x:c>
      <x:c r="C22" s="8" t="s">
        <x:v>20</x:v>
      </x:c>
    </x:row>
    <x:row r="23" ht="15" hidden="0" customHeight="1">
      <x:c r="B23" s="6" t="s">
        <x:v>21</x:v>
      </x:c>
      <x:c r="C23" s="8" t="s">
        <x:v>22</x:v>
      </x:c>
    </x:row>
    <x:row r="24" ht="15" hidden="0" customHeight="1">
      <x:c r="B24" s="6" t="s">
        <x:v>23</x:v>
      </x:c>
      <x:c r="C24" s="8" t="s">
        <x:v>24</x:v>
      </x:c>
    </x:row>
    <x:row r="25" ht="15" hidden="0" customHeight="1">
      <x:c r="B25" s="6" t="s">
        <x:v>25</x:v>
      </x:c>
      <x:c r="C25" s="8" t="s">
        <x:v>26</x:v>
      </x:c>
    </x:row>
    <x:row r="26" ht="15" hidden="0" customHeight="1">
      <x:c r="B26" s="6" t="s">
        <x:v>27</x:v>
      </x:c>
      <x:c r="C26" s="8" t="s">
        <x:v>28</x:v>
      </x:c>
    </x:row>
    <x:row r="27" ht="15" hidden="0" customHeight="1">
      <x:c r="B27" s="6" t="s">
        <x:v>29</x:v>
      </x:c>
      <x:c r="C27" s="8" t="s">
        <x:v>30</x:v>
      </x:c>
    </x:row>
    <x:row r="29" ht="15" hidden="0" customHeight="1">
      <x:c r="B29" s="5" t="s">
        <x:v>31</x:v>
      </x:c>
    </x:row>
    <x:row r="30" ht="45.75" hidden="0" customHeight="1">
      <x:c r="B30" s="9" t="s">
        <x:v>32</x:v>
      </x:c>
      <x:c r="C30" s="10" t="s">
        <x:v>33</x:v>
      </x:c>
    </x:row>
    <x:row r="32" ht="45.75" hidden="0" customHeight="1">
      <x:c r="B32" s="9" t="s">
        <x:v>34</x:v>
      </x:c>
      <x:c r="C32" s="10" t="s">
        <x:v>35</x:v>
      </x:c>
    </x:row>
    <x:row r="34" ht="15" hidden="0" customHeight="1">
      <x:c r="B34" s="11" t="str">
        <x:v>RESEARCH UPDATE - 2026-09-23</x:v>
      </x:c>
    </x:row>
    <x:row r="35" ht="15" hidden="0" customHeight="1">
      <x:c r="A35" s="88"/>
      <x:c r="B35" s="153" t="str">
        <x:v>Groups A–C reconciled 2026-09-23. CCA agrees across sheets; naming-derived CA/RC is labelled inferred. Honda ERGs are separate versioned sources. URLs repaired or explicitly missing. Linked record years align; typical ranges and conditional AGM claims are labelled. No vehicle or battery rows added.</x:v>
      </x:c>
      <x:c r="C35" s="153"/>
      <x:c r="D35" s="88"/>
      <x:c r="E35" s="88"/>
      <x:c r="F35" s="88"/>
      <x:c r="G35" s="88"/>
    </x:row>
    <x:row r="36" ht="15" hidden="0" customHeight="1">
      <x:c r="B36" s="12"/>
      <x:c r="C36" s="12"/>
    </x:row>
    <x:row r="38" ht="15" hidden="0" customHeight="1">
      <x:c r="B38" s="11" t="str">
        <x:v>REMAINING GATES</x:v>
      </x:c>
    </x:row>
    <x:row r="39" ht="15" hidden="0" customHeight="1">
      <x:c r="A39" s="88"/>
      <x:c r="B39" s="153" t="str">
        <x:v>Unresolved evidence remains explicit: 11 legacy sources have no URL on record; older/general references do not establish exact-year specifications. Canadian and American ERG procedures remain version-specific. Real fitments remain staged pending identity mappings, physical checks and technician review.</x:v>
      </x:c>
      <x:c r="C39" s="153"/>
      <x:c r="D39" s="88"/>
      <x:c r="E39" s="88"/>
      <x:c r="F39" s="88"/>
      <x:c r="G39" s="88"/>
    </x:row>
    <x:row r="40" ht="15" hidden="0" customHeight="1">
      <x:c r="B40" s="12"/>
      <x:c r="C40" s="12"/>
    </x:row>
  </x:sheetData>
  <x:mergeCells>
    <x:mergeCell ref="B5:C9"/>
    <x:mergeCell ref="B35:C36"/>
    <x:mergeCell ref="B39:C40"/>
  </x:mergeCells>
  <x:pageMargins left="0.7" right="0.7" top="0.75" bottom="0.75" header="0.3" footer="0.3"/>
</x:worksheet>
</file>

<file path=xl/worksheets/sheet2.xml><?xml version="1.0" encoding="utf-8"?>
<x:worksheet xmlns:x="http://schemas.openxmlformats.org/spreadsheetml/2006/main">
  <x:sheetViews>
    <x:sheetView showGridLines="1" workbookViewId="0">
      <x:pane ySplit="5" topLeftCell="A6" activePane="bottomLeft" state="frozen"/>
    </x:sheetView>
  </x:sheetViews>
  <x:sheetFormatPr defaultColWidth="8.6796875" defaultRowHeight="15"/>
  <x:cols>
    <x:col min="1" max="1" width="22" hidden="0" customWidth="1"/>
    <x:col min="2" max="2" width="6" hidden="0" customWidth="1"/>
    <x:col min="3" max="3" width="32" hidden="0" customWidth="1"/>
    <x:col min="4" max="4" width="62" hidden="0" customWidth="1"/>
    <x:col min="5" max="5" width="18" hidden="0" customWidth="1"/>
    <x:col min="6" max="6" width="42" hidden="0" customWidth="1"/>
    <x:col min="7" max="7" width="30" hidden="0" customWidth="1"/>
  </x:cols>
  <x:sheetData>
    <x:row r="1" ht="18.549999237060547" hidden="0">
      <x:c r="A1" s="13" t="s">
        <x:v>36</x:v>
      </x:c>
    </x:row>
    <x:row r="2" ht="15" hidden="0">
      <x:c r="A2" s="14" t="s">
        <x:v>37</x:v>
      </x:c>
    </x:row>
    <x:row r="4" ht="19.5" hidden="0" customHeight="1">
      <x:c r="A4" s="15" t="s">
        <x:v>38</x:v>
      </x:c>
      <x:c r="B4" s="15"/>
      <x:c r="C4" s="15"/>
      <x:c r="D4" s="15"/>
      <x:c r="E4" s="15"/>
      <x:c r="F4" s="15"/>
      <x:c r="G4" s="15"/>
    </x:row>
    <x:row r="5" ht="24" hidden="0" customHeight="1">
      <x:c r="A5" s="16" t="s">
        <x:v>39</x:v>
      </x:c>
      <x:c r="B5" s="16" t="s">
        <x:v>40</x:v>
      </x:c>
      <x:c r="C5" s="16" t="s">
        <x:v>41</x:v>
      </x:c>
      <x:c r="D5" s="16" t="s">
        <x:v>42</x:v>
      </x:c>
      <x:c r="E5" s="16" t="s">
        <x:v>43</x:v>
      </x:c>
      <x:c r="F5" s="16" t="s">
        <x:v>44</x:v>
      </x:c>
      <x:c r="G5" s="16" t="s">
        <x:v>45</x:v>
      </x:c>
    </x:row>
    <x:row r="6" ht="22.350000381469727" hidden="0">
      <x:c r="A6" s="17" t="s">
        <x:v>14</x:v>
      </x:c>
      <x:c r="B6" s="17" t="s">
        <x:v>46</x:v>
      </x:c>
      <x:c r="C6" s="17" t="s">
        <x:v>47</x:v>
      </x:c>
      <x:c r="D6" s="17" t="s">
        <x:v>48</x:v>
      </x:c>
      <x:c r="E6" s="17" t="s">
        <x:v>49</x:v>
      </x:c>
      <x:c r="F6" s="17" t="s">
        <x:v>50</x:v>
      </x:c>
      <x:c r="G6" s="17" t="s">
        <x:v>51</x:v>
      </x:c>
    </x:row>
    <x:row r="7" ht="22.350000381469727" hidden="0">
      <x:c r="A7" s="18" t="s">
        <x:v>14</x:v>
      </x:c>
      <x:c r="B7" s="18" t="s">
        <x:v>52</x:v>
      </x:c>
      <x:c r="C7" s="18" t="s">
        <x:v>53</x:v>
      </x:c>
      <x:c r="D7" s="18" t="s">
        <x:v>54</x:v>
      </x:c>
      <x:c r="E7" s="18" t="s">
        <x:v>49</x:v>
      </x:c>
      <x:c r="F7" s="18" t="s">
        <x:v>55</x:v>
      </x:c>
      <x:c r="G7" s="18" t="s">
        <x:v>51</x:v>
      </x:c>
    </x:row>
    <x:row r="8" ht="15" hidden="0">
      <x:c r="A8" s="17" t="s">
        <x:v>14</x:v>
      </x:c>
      <x:c r="B8" s="17" t="s">
        <x:v>56</x:v>
      </x:c>
      <x:c r="C8" s="17" t="s">
        <x:v>57</x:v>
      </x:c>
      <x:c r="D8" s="17" t="s">
        <x:v>58</x:v>
      </x:c>
      <x:c r="E8" s="17" t="s">
        <x:v>59</x:v>
      </x:c>
      <x:c r="F8" s="17" t="s">
        <x:v>60</x:v>
      </x:c>
      <x:c r="G8" s="17" t="s">
        <x:v>61</x:v>
      </x:c>
    </x:row>
    <x:row r="9" ht="15" hidden="0">
      <x:c r="A9" s="18" t="s">
        <x:v>14</x:v>
      </x:c>
      <x:c r="B9" s="18" t="s">
        <x:v>62</x:v>
      </x:c>
      <x:c r="C9" s="18" t="s">
        <x:v>63</x:v>
      </x:c>
      <x:c r="D9" s="18" t="s">
        <x:v>64</x:v>
      </x:c>
      <x:c r="E9" s="18" t="s">
        <x:v>65</x:v>
      </x:c>
      <x:c r="F9" s="18" t="s">
        <x:v>66</x:v>
      </x:c>
      <x:c r="G9" s="18" t="s">
        <x:v>67</x:v>
      </x:c>
    </x:row>
    <x:row r="10" ht="15" hidden="0">
      <x:c r="A10" s="17" t="s">
        <x:v>14</x:v>
      </x:c>
      <x:c r="B10" s="17" t="s">
        <x:v>68</x:v>
      </x:c>
      <x:c r="C10" s="17" t="s">
        <x:v>69</x:v>
      </x:c>
      <x:c r="D10" s="17" t="s">
        <x:v>70</x:v>
      </x:c>
      <x:c r="E10" s="17" t="s">
        <x:v>65</x:v>
      </x:c>
      <x:c r="F10" s="17" t="s">
        <x:v>71</x:v>
      </x:c>
      <x:c r="G10" s="17" t="s">
        <x:v>67</x:v>
      </x:c>
    </x:row>
    <x:row r="11" ht="22.350000381469727" hidden="0">
      <x:c r="A11" s="18" t="s">
        <x:v>14</x:v>
      </x:c>
      <x:c r="B11" s="18" t="s">
        <x:v>72</x:v>
      </x:c>
      <x:c r="C11" s="18" t="s">
        <x:v>73</x:v>
      </x:c>
      <x:c r="D11" s="18" t="s">
        <x:v>74</x:v>
      </x:c>
      <x:c r="E11" s="18" t="s">
        <x:v>65</x:v>
      </x:c>
      <x:c r="F11" s="18" t="s">
        <x:v>75</x:v>
      </x:c>
      <x:c r="G11" s="18" t="s">
        <x:v>67</x:v>
      </x:c>
    </x:row>
    <x:row r="12" ht="15" hidden="0">
      <x:c r="A12" s="17" t="s">
        <x:v>14</x:v>
      </x:c>
      <x:c r="B12" s="17" t="s">
        <x:v>76</x:v>
      </x:c>
      <x:c r="C12" s="17" t="s">
        <x:v>77</x:v>
      </x:c>
      <x:c r="D12" s="17" t="s">
        <x:v>78</x:v>
      </x:c>
      <x:c r="E12" s="17" t="s">
        <x:v>65</x:v>
      </x:c>
      <x:c r="F12" s="17" t="s">
        <x:v>79</x:v>
      </x:c>
      <x:c r="G12" s="17" t="s">
        <x:v>67</x:v>
      </x:c>
    </x:row>
    <x:row r="13" ht="22.350000381469727" hidden="0">
      <x:c r="A13" s="18" t="s">
        <x:v>14</x:v>
      </x:c>
      <x:c r="B13" s="18" t="s">
        <x:v>80</x:v>
      </x:c>
      <x:c r="C13" s="18" t="s">
        <x:v>81</x:v>
      </x:c>
      <x:c r="D13" s="18" t="s">
        <x:v>82</x:v>
      </x:c>
      <x:c r="E13" s="18" t="s">
        <x:v>49</x:v>
      </x:c>
      <x:c r="F13" s="18" t="s">
        <x:v>83</x:v>
      </x:c>
      <x:c r="G13" s="18" t="s">
        <x:v>67</x:v>
      </x:c>
    </x:row>
    <x:row r="14" ht="15" hidden="0">
      <x:c r="A14" s="17" t="s">
        <x:v>14</x:v>
      </x:c>
      <x:c r="B14" s="17" t="s">
        <x:v>84</x:v>
      </x:c>
      <x:c r="C14" s="17" t="s">
        <x:v>85</x:v>
      </x:c>
      <x:c r="D14" s="17" t="s">
        <x:v>86</x:v>
      </x:c>
      <x:c r="E14" s="17" t="s">
        <x:v>87</x:v>
      </x:c>
      <x:c r="F14" s="17" t="s">
        <x:v>88</x:v>
      </x:c>
      <x:c r="G14" s="17" t="s">
        <x:v>89</x:v>
      </x:c>
    </x:row>
    <x:row r="15" ht="15" hidden="0">
      <x:c r="A15" s="18" t="s">
        <x:v>14</x:v>
      </x:c>
      <x:c r="B15" s="18" t="s">
        <x:v>90</x:v>
      </x:c>
      <x:c r="C15" s="18" t="s">
        <x:v>91</x:v>
      </x:c>
      <x:c r="D15" s="18" t="s">
        <x:v>92</x:v>
      </x:c>
      <x:c r="E15" s="18" t="s">
        <x:v>93</x:v>
      </x:c>
      <x:c r="F15" s="18" t="s">
        <x:v>94</x:v>
      </x:c>
      <x:c r="G15" s="18" t="s">
        <x:v>89</x:v>
      </x:c>
    </x:row>
    <x:row r="16" ht="15" hidden="0">
      <x:c r="A16" s="17" t="s">
        <x:v>14</x:v>
      </x:c>
      <x:c r="B16" s="17" t="s">
        <x:v>95</x:v>
      </x:c>
      <x:c r="C16" s="17" t="s">
        <x:v>96</x:v>
      </x:c>
      <x:c r="D16" s="17" t="s">
        <x:v>97</x:v>
      </x:c>
      <x:c r="E16" s="17" t="s">
        <x:v>65</x:v>
      </x:c>
      <x:c r="F16" s="17" t="s">
        <x:v>98</x:v>
      </x:c>
      <x:c r="G16" s="17" t="s">
        <x:v>99</x:v>
      </x:c>
    </x:row>
    <x:row r="17" ht="15" hidden="0">
      <x:c r="A17" s="18" t="s">
        <x:v>14</x:v>
      </x:c>
      <x:c r="B17" s="18" t="s">
        <x:v>100</x:v>
      </x:c>
      <x:c r="C17" s="18" t="s">
        <x:v>101</x:v>
      </x:c>
      <x:c r="D17" s="18" t="s">
        <x:v>102</x:v>
      </x:c>
      <x:c r="E17" s="18" t="s">
        <x:v>103</x:v>
      </x:c>
      <x:c r="F17" s="18" t="s">
        <x:v>104</x:v>
      </x:c>
      <x:c r="G17" s="18" t="s">
        <x:v>67</x:v>
      </x:c>
    </x:row>
    <x:row r="18" ht="15" hidden="0">
      <x:c r="A18" s="17" t="s">
        <x:v>14</x:v>
      </x:c>
      <x:c r="B18" s="17" t="s">
        <x:v>105</x:v>
      </x:c>
      <x:c r="C18" s="17" t="s">
        <x:v>106</x:v>
      </x:c>
      <x:c r="D18" s="17" t="s">
        <x:v>107</x:v>
      </x:c>
      <x:c r="E18" s="17" t="s">
        <x:v>103</x:v>
      </x:c>
      <x:c r="F18" s="17" t="s">
        <x:v>108</x:v>
      </x:c>
      <x:c r="G18" s="17" t="s">
        <x:v>67</x:v>
      </x:c>
    </x:row>
    <x:row r="20" ht="19.5" hidden="0" customHeight="1">
      <x:c r="A20" s="19" t="s">
        <x:v>109</x:v>
      </x:c>
      <x:c r="B20" s="19"/>
      <x:c r="C20" s="19"/>
      <x:c r="D20" s="19"/>
      <x:c r="E20" s="19"/>
      <x:c r="F20" s="19"/>
      <x:c r="G20" s="19"/>
    </x:row>
    <x:row r="21" ht="24" hidden="0" customHeight="1">
      <x:c r="A21" s="16" t="s">
        <x:v>39</x:v>
      </x:c>
      <x:c r="B21" s="16" t="s">
        <x:v>40</x:v>
      </x:c>
      <x:c r="C21" s="16" t="s">
        <x:v>41</x:v>
      </x:c>
      <x:c r="D21" s="16" t="s">
        <x:v>42</x:v>
      </x:c>
      <x:c r="E21" s="16" t="s">
        <x:v>43</x:v>
      </x:c>
      <x:c r="F21" s="16" t="s">
        <x:v>44</x:v>
      </x:c>
      <x:c r="G21" s="16" t="s">
        <x:v>45</x:v>
      </x:c>
    </x:row>
    <x:row r="22" ht="22.350000381469727" hidden="0">
      <x:c r="A22" s="17" t="s">
        <x:v>14</x:v>
      </x:c>
      <x:c r="B22" s="17" t="s">
        <x:v>110</x:v>
      </x:c>
      <x:c r="C22" s="17" t="s">
        <x:v>111</x:v>
      </x:c>
      <x:c r="D22" s="17" t="s">
        <x:v>112</x:v>
      </x:c>
      <x:c r="E22" s="17" t="s">
        <x:v>113</x:v>
      </x:c>
      <x:c r="F22" s="17" t="s">
        <x:v>114</x:v>
      </x:c>
      <x:c r="G22" s="17" t="s">
        <x:v>115</x:v>
      </x:c>
    </x:row>
    <x:row r="23" ht="15" hidden="0">
      <x:c r="A23" s="18" t="s">
        <x:v>14</x:v>
      </x:c>
      <x:c r="B23" s="18" t="s">
        <x:v>116</x:v>
      </x:c>
      <x:c r="C23" s="18" t="s">
        <x:v>117</x:v>
      </x:c>
      <x:c r="D23" s="18" t="s">
        <x:v>118</x:v>
      </x:c>
      <x:c r="E23" s="18" t="s">
        <x:v>65</x:v>
      </x:c>
      <x:c r="F23" s="18" t="s">
        <x:v>119</x:v>
      </x:c>
      <x:c r="G23" s="18" t="s">
        <x:v>120</x:v>
      </x:c>
    </x:row>
    <x:row r="24" ht="15" hidden="0">
      <x:c r="A24" s="17" t="s">
        <x:v>14</x:v>
      </x:c>
      <x:c r="B24" s="17" t="s">
        <x:v>121</x:v>
      </x:c>
      <x:c r="C24" s="17" t="s">
        <x:v>122</x:v>
      </x:c>
      <x:c r="D24" s="17" t="s">
        <x:v>123</x:v>
      </x:c>
      <x:c r="E24" s="17" t="s">
        <x:v>103</x:v>
      </x:c>
      <x:c r="F24" s="17" t="s">
        <x:v>124</x:v>
      </x:c>
      <x:c r="G24" s="17" t="s">
        <x:v>125</x:v>
      </x:c>
    </x:row>
    <x:row r="25" ht="22.350000381469727" hidden="0">
      <x:c r="A25" s="18" t="s">
        <x:v>14</x:v>
      </x:c>
      <x:c r="B25" s="18" t="s">
        <x:v>126</x:v>
      </x:c>
      <x:c r="C25" s="18" t="s">
        <x:v>127</x:v>
      </x:c>
      <x:c r="D25" s="18" t="s">
        <x:v>128</x:v>
      </x:c>
      <x:c r="E25" s="18" t="s">
        <x:v>103</x:v>
      </x:c>
      <x:c r="F25" s="18" t="s">
        <x:v>129</x:v>
      </x:c>
      <x:c r="G25" s="18" t="s">
        <x:v>99</x:v>
      </x:c>
    </x:row>
    <x:row r="26" ht="15" hidden="0">
      <x:c r="A26" s="17" t="s">
        <x:v>14</x:v>
      </x:c>
      <x:c r="B26" s="17" t="s">
        <x:v>130</x:v>
      </x:c>
      <x:c r="C26" s="17" t="s">
        <x:v>131</x:v>
      </x:c>
      <x:c r="D26" s="17" t="s">
        <x:v>132</x:v>
      </x:c>
      <x:c r="E26" s="17" t="s">
        <x:v>133</x:v>
      </x:c>
      <x:c r="F26" s="17" t="s">
        <x:v>134</x:v>
      </x:c>
      <x:c r="G26" s="17" t="s">
        <x:v>99</x:v>
      </x:c>
    </x:row>
    <x:row r="27" ht="22.350000381469727" hidden="0">
      <x:c r="A27" s="18" t="s">
        <x:v>14</x:v>
      </x:c>
      <x:c r="B27" s="18" t="s">
        <x:v>135</x:v>
      </x:c>
      <x:c r="C27" s="18" t="s">
        <x:v>136</x:v>
      </x:c>
      <x:c r="D27" s="18" t="s">
        <x:v>137</x:v>
      </x:c>
      <x:c r="E27" s="18" t="s">
        <x:v>138</x:v>
      </x:c>
      <x:c r="F27" s="18" t="s">
        <x:v>139</x:v>
      </x:c>
      <x:c r="G27" s="18" t="s">
        <x:v>99</x:v>
      </x:c>
    </x:row>
    <x:row r="28" ht="22.350000381469727" hidden="0">
      <x:c r="A28" s="17" t="s">
        <x:v>14</x:v>
      </x:c>
      <x:c r="B28" s="17" t="s">
        <x:v>140</x:v>
      </x:c>
      <x:c r="C28" s="17" t="s">
        <x:v>141</x:v>
      </x:c>
      <x:c r="D28" s="17" t="s">
        <x:v>142</x:v>
      </x:c>
      <x:c r="E28" s="17" t="s">
        <x:v>143</x:v>
      </x:c>
      <x:c r="F28" s="17" t="s">
        <x:v>144</x:v>
      </x:c>
      <x:c r="G28" s="17" t="s">
        <x:v>145</x:v>
      </x:c>
    </x:row>
    <x:row r="29" ht="15" hidden="0">
      <x:c r="A29" s="18" t="s">
        <x:v>14</x:v>
      </x:c>
      <x:c r="B29" s="18" t="s">
        <x:v>146</x:v>
      </x:c>
      <x:c r="C29" s="18" t="s">
        <x:v>147</x:v>
      </x:c>
      <x:c r="D29" s="18" t="s">
        <x:v>148</x:v>
      </x:c>
      <x:c r="E29" s="18" t="s">
        <x:v>149</x:v>
      </x:c>
      <x:c r="F29" s="18" t="s">
        <x:v>150</x:v>
      </x:c>
      <x:c r="G29" s="18" t="s">
        <x:v>151</x:v>
      </x:c>
    </x:row>
    <x:row r="30" ht="15" hidden="0">
      <x:c r="A30" s="17" t="s">
        <x:v>14</x:v>
      </x:c>
      <x:c r="B30" s="17" t="s">
        <x:v>152</x:v>
      </x:c>
      <x:c r="C30" s="17" t="s">
        <x:v>153</x:v>
      </x:c>
      <x:c r="D30" s="17" t="s">
        <x:v>154</x:v>
      </x:c>
      <x:c r="E30" s="17" t="s">
        <x:v>155</x:v>
      </x:c>
      <x:c r="F30" s="17" t="s">
        <x:v>156</x:v>
      </x:c>
      <x:c r="G30" s="17" t="s">
        <x:v>157</x:v>
      </x:c>
    </x:row>
    <x:row r="31" ht="15" hidden="0">
      <x:c r="A31" s="18" t="s">
        <x:v>14</x:v>
      </x:c>
      <x:c r="B31" s="18" t="s">
        <x:v>158</x:v>
      </x:c>
      <x:c r="C31" s="18" t="s">
        <x:v>159</x:v>
      </x:c>
      <x:c r="D31" s="18" t="s">
        <x:v>160</x:v>
      </x:c>
      <x:c r="E31" s="18" t="s">
        <x:v>65</x:v>
      </x:c>
      <x:c r="F31" s="18" t="s">
        <x:v>161</x:v>
      </x:c>
      <x:c r="G31" s="18" t="s">
        <x:v>162</x:v>
      </x:c>
    </x:row>
    <x:row r="32" ht="15" hidden="0">
      <x:c r="A32" s="17" t="s">
        <x:v>14</x:v>
      </x:c>
      <x:c r="B32" s="17" t="s">
        <x:v>163</x:v>
      </x:c>
      <x:c r="C32" s="17" t="s">
        <x:v>164</x:v>
      </x:c>
      <x:c r="D32" s="17" t="s">
        <x:v>165</x:v>
      </x:c>
      <x:c r="E32" s="17" t="s">
        <x:v>133</x:v>
      </x:c>
      <x:c r="F32" s="17" t="s">
        <x:v>166</x:v>
      </x:c>
      <x:c r="G32" s="17" t="s">
        <x:v>99</x:v>
      </x:c>
    </x:row>
    <x:row r="33" ht="22.350000381469727" hidden="0">
      <x:c r="A33" s="18" t="s">
        <x:v>14</x:v>
      </x:c>
      <x:c r="B33" s="18" t="s">
        <x:v>167</x:v>
      </x:c>
      <x:c r="C33" s="18" t="s">
        <x:v>168</x:v>
      </x:c>
      <x:c r="D33" s="18" t="s">
        <x:v>169</x:v>
      </x:c>
      <x:c r="E33" s="18" t="s">
        <x:v>170</x:v>
      </x:c>
      <x:c r="F33" s="18" t="s">
        <x:v>171</x:v>
      </x:c>
      <x:c r="G33" s="18" t="s">
        <x:v>172</x:v>
      </x:c>
    </x:row>
    <x:row r="34" ht="15" hidden="0">
      <x:c r="A34" s="17" t="s">
        <x:v>14</x:v>
      </x:c>
      <x:c r="B34" s="17" t="s">
        <x:v>173</x:v>
      </x:c>
      <x:c r="C34" s="17" t="s">
        <x:v>174</x:v>
      </x:c>
      <x:c r="D34" s="17" t="s">
        <x:v>175</x:v>
      </x:c>
      <x:c r="E34" s="17" t="s">
        <x:v>176</x:v>
      </x:c>
      <x:c r="F34" s="17" t="s">
        <x:v>177</x:v>
      </x:c>
      <x:c r="G34" s="17" t="s">
        <x:v>178</x:v>
      </x:c>
    </x:row>
    <x:row r="35" ht="15" hidden="0">
      <x:c r="A35" s="18" t="s">
        <x:v>14</x:v>
      </x:c>
      <x:c r="B35" s="18" t="s">
        <x:v>179</x:v>
      </x:c>
      <x:c r="C35" s="18" t="s">
        <x:v>180</x:v>
      </x:c>
      <x:c r="D35" s="18" t="s">
        <x:v>181</x:v>
      </x:c>
      <x:c r="E35" s="18" t="s">
        <x:v>65</x:v>
      </x:c>
      <x:c r="F35" s="18" t="s">
        <x:v>182</x:v>
      </x:c>
      <x:c r="G35" s="18" t="s">
        <x:v>99</x:v>
      </x:c>
    </x:row>
    <x:row r="36" ht="15" hidden="0">
      <x:c r="A36" s="17" t="s">
        <x:v>14</x:v>
      </x:c>
      <x:c r="B36" s="17" t="s">
        <x:v>183</x:v>
      </x:c>
      <x:c r="C36" s="17" t="s">
        <x:v>184</x:v>
      </x:c>
      <x:c r="D36" s="17" t="s">
        <x:v>185</x:v>
      </x:c>
      <x:c r="E36" s="17" t="s">
        <x:v>65</x:v>
      </x:c>
      <x:c r="F36" s="17" t="s">
        <x:v>186</x:v>
      </x:c>
      <x:c r="G36" s="17" t="s">
        <x:v>187</x:v>
      </x:c>
    </x:row>
    <x:row r="37" ht="15" hidden="0">
      <x:c r="A37" s="18" t="s">
        <x:v>14</x:v>
      </x:c>
      <x:c r="B37" s="18" t="s">
        <x:v>188</x:v>
      </x:c>
      <x:c r="C37" s="18" t="s">
        <x:v>189</x:v>
      </x:c>
      <x:c r="D37" s="18" t="s">
        <x:v>190</x:v>
      </x:c>
      <x:c r="E37" s="18" t="s">
        <x:v>133</x:v>
      </x:c>
      <x:c r="F37" s="18" t="s">
        <x:v>191</x:v>
      </x:c>
      <x:c r="G37" s="18" t="s">
        <x:v>187</x:v>
      </x:c>
    </x:row>
    <x:row r="38" ht="15" hidden="0">
      <x:c r="A38" s="17" t="s">
        <x:v>14</x:v>
      </x:c>
      <x:c r="B38" s="17" t="s">
        <x:v>192</x:v>
      </x:c>
      <x:c r="C38" s="17" t="s">
        <x:v>193</x:v>
      </x:c>
      <x:c r="D38" s="17" t="s">
        <x:v>194</x:v>
      </x:c>
      <x:c r="E38" s="17" t="s">
        <x:v>195</x:v>
      </x:c>
      <x:c r="F38" s="17" t="s">
        <x:v>196</x:v>
      </x:c>
      <x:c r="G38" s="17" t="s">
        <x:v>197</x:v>
      </x:c>
    </x:row>
    <x:row r="39" ht="15" hidden="0">
      <x:c r="A39" s="18" t="s">
        <x:v>14</x:v>
      </x:c>
      <x:c r="B39" s="18" t="s">
        <x:v>198</x:v>
      </x:c>
      <x:c r="C39" s="18" t="s">
        <x:v>199</x:v>
      </x:c>
      <x:c r="D39" s="18" t="s">
        <x:v>200</x:v>
      </x:c>
      <x:c r="E39" s="18" t="s">
        <x:v>170</x:v>
      </x:c>
      <x:c r="F39" s="18" t="s">
        <x:v>201</x:v>
      </x:c>
      <x:c r="G39" s="18" t="s">
        <x:v>202</x:v>
      </x:c>
    </x:row>
    <x:row r="40" ht="15" hidden="0">
      <x:c r="A40" s="17" t="s">
        <x:v>14</x:v>
      </x:c>
      <x:c r="B40" s="17" t="s">
        <x:v>203</x:v>
      </x:c>
      <x:c r="C40" s="17" t="s">
        <x:v>204</x:v>
      </x:c>
      <x:c r="D40" s="17" t="s">
        <x:v>205</x:v>
      </x:c>
      <x:c r="E40" s="17" t="s">
        <x:v>133</x:v>
      </x:c>
      <x:c r="F40" s="17" t="s">
        <x:v>206</x:v>
      </x:c>
      <x:c r="G40" s="17" t="s">
        <x:v>207</x:v>
      </x:c>
    </x:row>
    <x:row r="41" ht="15" hidden="0">
      <x:c r="A41" s="18" t="s">
        <x:v>14</x:v>
      </x:c>
      <x:c r="B41" s="18" t="s">
        <x:v>208</x:v>
      </x:c>
      <x:c r="C41" s="18" t="s">
        <x:v>209</x:v>
      </x:c>
      <x:c r="D41" s="18" t="s">
        <x:v>210</x:v>
      </x:c>
      <x:c r="E41" s="18" t="s">
        <x:v>65</x:v>
      </x:c>
      <x:c r="F41" s="18" t="s">
        <x:v>211</x:v>
      </x:c>
      <x:c r="G41" s="18" t="s">
        <x:v>207</x:v>
      </x:c>
    </x:row>
    <x:row r="42" ht="15" hidden="0">
      <x:c r="A42" s="17" t="s">
        <x:v>14</x:v>
      </x:c>
      <x:c r="B42" s="17" t="s">
        <x:v>212</x:v>
      </x:c>
      <x:c r="C42" s="17" t="s">
        <x:v>213</x:v>
      </x:c>
      <x:c r="D42" s="17" t="s">
        <x:v>214</x:v>
      </x:c>
      <x:c r="E42" s="17" t="s">
        <x:v>215</x:v>
      </x:c>
      <x:c r="F42" s="17" t="s">
        <x:v>166</x:v>
      </x:c>
      <x:c r="G42" s="17" t="s">
        <x:v>99</x:v>
      </x:c>
    </x:row>
    <x:row r="43" ht="22.350000381469727" hidden="0">
      <x:c r="A43" s="18" t="s">
        <x:v>14</x:v>
      </x:c>
      <x:c r="B43" s="18" t="s">
        <x:v>216</x:v>
      </x:c>
      <x:c r="C43" s="18" t="s">
        <x:v>217</x:v>
      </x:c>
      <x:c r="D43" s="18" t="s">
        <x:v>218</x:v>
      </x:c>
      <x:c r="E43" s="18" t="s">
        <x:v>170</x:v>
      </x:c>
      <x:c r="F43" s="18" t="s">
        <x:v>201</x:v>
      </x:c>
      <x:c r="G43" s="18" t="s">
        <x:v>219</x:v>
      </x:c>
    </x:row>
    <x:row r="44" ht="15" hidden="0">
      <x:c r="A44" s="17" t="s">
        <x:v>14</x:v>
      </x:c>
      <x:c r="B44" s="17" t="s">
        <x:v>220</x:v>
      </x:c>
      <x:c r="C44" s="17" t="s">
        <x:v>221</x:v>
      </x:c>
      <x:c r="D44" s="17" t="s">
        <x:v>222</x:v>
      </x:c>
      <x:c r="E44" s="17" t="s">
        <x:v>223</x:v>
      </x:c>
      <x:c r="F44" s="17" t="s">
        <x:v>224</x:v>
      </x:c>
      <x:c r="G44" s="17" t="s">
        <x:v>207</x:v>
      </x:c>
    </x:row>
    <x:row r="45" ht="22.350000381469727" hidden="0">
      <x:c r="A45" s="18" t="s">
        <x:v>14</x:v>
      </x:c>
      <x:c r="B45" s="18" t="s">
        <x:v>225</x:v>
      </x:c>
      <x:c r="C45" s="18" t="s">
        <x:v>226</x:v>
      </x:c>
      <x:c r="D45" s="18" t="s">
        <x:v>227</x:v>
      </x:c>
      <x:c r="E45" s="18" t="s">
        <x:v>223</x:v>
      </x:c>
      <x:c r="F45" s="18" t="s">
        <x:v>228</x:v>
      </x:c>
      <x:c r="G45" s="18" t="s">
        <x:v>229</x:v>
      </x:c>
    </x:row>
    <x:row r="46" ht="15" hidden="0">
      <x:c r="A46" s="17" t="s">
        <x:v>14</x:v>
      </x:c>
      <x:c r="B46" s="17" t="s">
        <x:v>230</x:v>
      </x:c>
      <x:c r="C46" s="17" t="s">
        <x:v>231</x:v>
      </x:c>
      <x:c r="D46" s="17" t="s">
        <x:v>232</x:v>
      </x:c>
      <x:c r="E46" s="17" t="s">
        <x:v>233</x:v>
      </x:c>
      <x:c r="F46" s="17" t="s">
        <x:v>234</x:v>
      </x:c>
      <x:c r="G46" s="17" t="s">
        <x:v>235</x:v>
      </x:c>
    </x:row>
    <x:row r="47" ht="15" hidden="0">
      <x:c r="A47" s="18" t="s">
        <x:v>14</x:v>
      </x:c>
      <x:c r="B47" s="18" t="s">
        <x:v>236</x:v>
      </x:c>
      <x:c r="C47" s="18" t="s">
        <x:v>237</x:v>
      </x:c>
      <x:c r="D47" s="18" t="s">
        <x:v>238</x:v>
      </x:c>
      <x:c r="E47" s="18" t="s">
        <x:v>93</x:v>
      </x:c>
      <x:c r="F47" s="18" t="s">
        <x:v>239</x:v>
      </x:c>
      <x:c r="G47" s="18" t="s">
        <x:v>240</x:v>
      </x:c>
    </x:row>
    <x:row r="48" ht="15" hidden="0">
      <x:c r="A48" s="17" t="s">
        <x:v>14</x:v>
      </x:c>
      <x:c r="B48" s="17" t="s">
        <x:v>241</x:v>
      </x:c>
      <x:c r="C48" s="17" t="s">
        <x:v>242</x:v>
      </x:c>
      <x:c r="D48" s="17" t="s">
        <x:v>243</x:v>
      </x:c>
      <x:c r="E48" s="17" t="s">
        <x:v>138</x:v>
      </x:c>
      <x:c r="F48" s="17" t="s">
        <x:v>244</x:v>
      </x:c>
      <x:c r="G48" s="17" t="s">
        <x:v>245</x:v>
      </x:c>
    </x:row>
    <x:row r="49" ht="15" hidden="0">
      <x:c r="A49" s="18" t="s">
        <x:v>14</x:v>
      </x:c>
      <x:c r="B49" s="18" t="s">
        <x:v>246</x:v>
      </x:c>
      <x:c r="C49" s="18" t="s">
        <x:v>247</x:v>
      </x:c>
      <x:c r="D49" s="18" t="s">
        <x:v>248</x:v>
      </x:c>
      <x:c r="E49" s="18" t="s">
        <x:v>249</x:v>
      </x:c>
      <x:c r="F49" s="18" t="s">
        <x:v>250</x:v>
      </x:c>
      <x:c r="G49" s="18" t="s">
        <x:v>251</x:v>
      </x:c>
    </x:row>
    <x:row r="50" ht="15" hidden="0">
      <x:c r="A50" s="17" t="s">
        <x:v>14</x:v>
      </x:c>
      <x:c r="B50" s="17" t="s">
        <x:v>252</x:v>
      </x:c>
      <x:c r="C50" s="17" t="s">
        <x:v>253</x:v>
      </x:c>
      <x:c r="D50" s="17" t="s">
        <x:v>254</x:v>
      </x:c>
      <x:c r="E50" s="17" t="s">
        <x:v>103</x:v>
      </x:c>
      <x:c r="F50" s="17" t="s">
        <x:v>255</x:v>
      </x:c>
      <x:c r="G50" s="17" t="s">
        <x:v>251</x:v>
      </x:c>
    </x:row>
    <x:row r="52" ht="19.5" hidden="0" customHeight="1">
      <x:c r="A52" s="20" t="s">
        <x:v>256</x:v>
      </x:c>
      <x:c r="B52" s="20"/>
      <x:c r="C52" s="20"/>
      <x:c r="D52" s="20"/>
      <x:c r="E52" s="20"/>
      <x:c r="F52" s="20"/>
      <x:c r="G52" s="20"/>
    </x:row>
    <x:row r="53" ht="24" hidden="0" customHeight="1">
      <x:c r="A53" s="16" t="s">
        <x:v>39</x:v>
      </x:c>
      <x:c r="B53" s="16" t="s">
        <x:v>40</x:v>
      </x:c>
      <x:c r="C53" s="16" t="s">
        <x:v>41</x:v>
      </x:c>
      <x:c r="D53" s="16" t="s">
        <x:v>42</x:v>
      </x:c>
      <x:c r="E53" s="16" t="s">
        <x:v>43</x:v>
      </x:c>
      <x:c r="F53" s="16" t="s">
        <x:v>44</x:v>
      </x:c>
      <x:c r="G53" s="16" t="s">
        <x:v>45</x:v>
      </x:c>
    </x:row>
    <x:row r="54" ht="15" hidden="0">
      <x:c r="A54" s="17" t="s">
        <x:v>257</x:v>
      </x:c>
      <x:c r="B54" s="17" t="s">
        <x:v>46</x:v>
      </x:c>
      <x:c r="C54" s="17" t="s">
        <x:v>258</x:v>
      </x:c>
      <x:c r="D54" s="17" t="s">
        <x:v>259</x:v>
      </x:c>
      <x:c r="E54" s="17" t="s">
        <x:v>65</x:v>
      </x:c>
      <x:c r="F54" s="17" t="s">
        <x:v>260</x:v>
      </x:c>
      <x:c r="G54" s="17" t="s">
        <x:v>251</x:v>
      </x:c>
    </x:row>
    <x:row r="55" ht="22.350000381469727" hidden="0">
      <x:c r="A55" s="18" t="s">
        <x:v>257</x:v>
      </x:c>
      <x:c r="B55" s="18" t="s">
        <x:v>261</x:v>
      </x:c>
      <x:c r="C55" s="18" t="s">
        <x:v>262</x:v>
      </x:c>
      <x:c r="D55" s="18" t="s">
        <x:v>263</x:v>
      </x:c>
      <x:c r="E55" s="18" t="s">
        <x:v>65</x:v>
      </x:c>
      <x:c r="F55" s="18" t="s">
        <x:v>264</x:v>
      </x:c>
      <x:c r="G55" s="18" t="s">
        <x:v>265</x:v>
      </x:c>
    </x:row>
    <x:row r="56" ht="15" hidden="0">
      <x:c r="A56" s="17" t="s">
        <x:v>257</x:v>
      </x:c>
      <x:c r="B56" s="17" t="s">
        <x:v>76</x:v>
      </x:c>
      <x:c r="C56" s="17" t="s">
        <x:v>266</x:v>
      </x:c>
      <x:c r="D56" s="17" t="s">
        <x:v>267</x:v>
      </x:c>
      <x:c r="E56" s="17" t="s">
        <x:v>268</x:v>
      </x:c>
      <x:c r="F56" s="17" t="s">
        <x:v>269</x:v>
      </x:c>
      <x:c r="G56" s="17" t="s">
        <x:v>270</x:v>
      </x:c>
    </x:row>
    <x:row r="57" ht="15" hidden="0">
      <x:c r="A57" s="18" t="s">
        <x:v>257</x:v>
      </x:c>
      <x:c r="B57" s="18" t="s">
        <x:v>80</x:v>
      </x:c>
      <x:c r="C57" s="18" t="s">
        <x:v>271</x:v>
      </x:c>
      <x:c r="D57" s="18" t="s">
        <x:v>272</x:v>
      </x:c>
      <x:c r="E57" s="18" t="s">
        <x:v>103</x:v>
      </x:c>
      <x:c r="F57" s="18" t="s">
        <x:v>273</x:v>
      </x:c>
      <x:c r="G57" s="18" t="s">
        <x:v>99</x:v>
      </x:c>
    </x:row>
    <x:row r="58" ht="15" hidden="0">
      <x:c r="A58" s="17" t="s">
        <x:v>257</x:v>
      </x:c>
      <x:c r="B58" s="17" t="s">
        <x:v>84</x:v>
      </x:c>
      <x:c r="C58" s="17" t="s">
        <x:v>274</x:v>
      </x:c>
      <x:c r="D58" s="17" t="s">
        <x:v>275</x:v>
      </x:c>
      <x:c r="E58" s="17" t="s">
        <x:v>65</x:v>
      </x:c>
      <x:c r="F58" s="17" t="s">
        <x:v>276</x:v>
      </x:c>
      <x:c r="G58" s="17" t="s">
        <x:v>251</x:v>
      </x:c>
    </x:row>
    <x:row r="60" ht="19.5" hidden="0" customHeight="1">
      <x:c r="A60" s="20" t="s">
        <x:v>277</x:v>
      </x:c>
      <x:c r="B60" s="20"/>
      <x:c r="C60" s="20"/>
      <x:c r="D60" s="20"/>
      <x:c r="E60" s="20"/>
      <x:c r="F60" s="20"/>
      <x:c r="G60" s="20"/>
    </x:row>
    <x:row r="61" ht="24" hidden="0" customHeight="1">
      <x:c r="A61" s="16" t="s">
        <x:v>39</x:v>
      </x:c>
      <x:c r="B61" s="16" t="s">
        <x:v>40</x:v>
      </x:c>
      <x:c r="C61" s="16" t="s">
        <x:v>41</x:v>
      </x:c>
      <x:c r="D61" s="16" t="s">
        <x:v>42</x:v>
      </x:c>
      <x:c r="E61" s="16" t="s">
        <x:v>43</x:v>
      </x:c>
      <x:c r="F61" s="16" t="s">
        <x:v>44</x:v>
      </x:c>
      <x:c r="G61" s="16" t="s">
        <x:v>45</x:v>
      </x:c>
    </x:row>
    <x:row r="62" ht="15" hidden="0">
      <x:c r="A62" s="17" t="s">
        <x:v>257</x:v>
      </x:c>
      <x:c r="B62" s="17" t="s">
        <x:v>90</x:v>
      </x:c>
      <x:c r="C62" s="17" t="s">
        <x:v>278</x:v>
      </x:c>
      <x:c r="D62" s="17" t="s">
        <x:v>279</x:v>
      </x:c>
      <x:c r="E62" s="17" t="s">
        <x:v>155</x:v>
      </x:c>
      <x:c r="F62" s="17" t="s">
        <x:v>280</x:v>
      </x:c>
      <x:c r="G62" s="17" t="s">
        <x:v>281</x:v>
      </x:c>
    </x:row>
    <x:row r="63" ht="15" hidden="0">
      <x:c r="A63" s="18" t="s">
        <x:v>257</x:v>
      </x:c>
      <x:c r="B63" s="18" t="s">
        <x:v>95</x:v>
      </x:c>
      <x:c r="C63" s="18" t="s">
        <x:v>282</x:v>
      </x:c>
      <x:c r="D63" s="18" t="s">
        <x:v>283</x:v>
      </x:c>
      <x:c r="E63" s="18" t="s">
        <x:v>233</x:v>
      </x:c>
      <x:c r="F63" s="18" t="s">
        <x:v>284</x:v>
      </x:c>
      <x:c r="G63" s="18" t="s">
        <x:v>235</x:v>
      </x:c>
    </x:row>
    <x:row r="64" ht="15" hidden="0">
      <x:c r="A64" s="17" t="s">
        <x:v>257</x:v>
      </x:c>
      <x:c r="B64" s="17" t="s">
        <x:v>100</x:v>
      </x:c>
      <x:c r="C64" s="17" t="s">
        <x:v>285</x:v>
      </x:c>
      <x:c r="D64" s="17" t="s">
        <x:v>286</x:v>
      </x:c>
      <x:c r="E64" s="17" t="s">
        <x:v>287</x:v>
      </x:c>
      <x:c r="F64" s="17" t="s">
        <x:v>288</x:v>
      </x:c>
      <x:c r="G64" s="17" t="s">
        <x:v>289</x:v>
      </x:c>
    </x:row>
    <x:row r="65" ht="15" hidden="0">
      <x:c r="A65" s="18" t="s">
        <x:v>257</x:v>
      </x:c>
      <x:c r="B65" s="18" t="s">
        <x:v>105</x:v>
      </x:c>
      <x:c r="C65" s="18" t="s">
        <x:v>290</x:v>
      </x:c>
      <x:c r="D65" s="18" t="s">
        <x:v>291</x:v>
      </x:c>
      <x:c r="E65" s="18" t="s">
        <x:v>149</x:v>
      </x:c>
      <x:c r="F65" s="18" t="s">
        <x:v>292</x:v>
      </x:c>
      <x:c r="G65" s="18" t="s">
        <x:v>293</x:v>
      </x:c>
    </x:row>
    <x:row r="66" ht="15" hidden="0">
      <x:c r="A66" s="17" t="s">
        <x:v>257</x:v>
      </x:c>
      <x:c r="B66" s="17" t="s">
        <x:v>110</x:v>
      </x:c>
      <x:c r="C66" s="17" t="s">
        <x:v>294</x:v>
      </x:c>
      <x:c r="D66" s="17" t="s">
        <x:v>295</x:v>
      </x:c>
      <x:c r="E66" s="17" t="s">
        <x:v>133</x:v>
      </x:c>
      <x:c r="F66" s="17" t="s">
        <x:v>166</x:v>
      </x:c>
      <x:c r="G66" s="17" t="s">
        <x:v>99</x:v>
      </x:c>
    </x:row>
    <x:row r="67" ht="15" hidden="0">
      <x:c r="A67" s="18" t="s">
        <x:v>257</x:v>
      </x:c>
      <x:c r="B67" s="18" t="s">
        <x:v>116</x:v>
      </x:c>
      <x:c r="C67" s="18" t="s">
        <x:v>296</x:v>
      </x:c>
      <x:c r="D67" s="18" t="s">
        <x:v>297</x:v>
      </x:c>
      <x:c r="E67" s="18" t="s">
        <x:v>298</x:v>
      </x:c>
      <x:c r="F67" s="18" t="s">
        <x:v>299</x:v>
      </x:c>
      <x:c r="G67" s="18" t="s">
        <x:v>300</x:v>
      </x:c>
    </x:row>
    <x:row r="68" ht="15" hidden="0">
      <x:c r="A68" s="17" t="s">
        <x:v>257</x:v>
      </x:c>
      <x:c r="B68" s="17" t="s">
        <x:v>121</x:v>
      </x:c>
      <x:c r="C68" s="17" t="s">
        <x:v>301</x:v>
      </x:c>
      <x:c r="D68" s="17" t="s">
        <x:v>302</x:v>
      </x:c>
      <x:c r="E68" s="17" t="s">
        <x:v>170</x:v>
      </x:c>
      <x:c r="F68" s="17" t="s">
        <x:v>303</x:v>
      </x:c>
      <x:c r="G68" s="17" t="s">
        <x:v>304</x:v>
      </x:c>
    </x:row>
    <x:row r="69" ht="15" hidden="0">
      <x:c r="A69" s="18" t="s">
        <x:v>257</x:v>
      </x:c>
      <x:c r="B69" s="18" t="s">
        <x:v>126</x:v>
      </x:c>
      <x:c r="C69" s="18" t="s">
        <x:v>305</x:v>
      </x:c>
      <x:c r="D69" s="18" t="s">
        <x:v>306</x:v>
      </x:c>
      <x:c r="E69" s="18" t="s">
        <x:v>170</x:v>
      </x:c>
      <x:c r="F69" s="18" t="s">
        <x:v>307</x:v>
      </x:c>
      <x:c r="G69" s="18" t="s">
        <x:v>308</x:v>
      </x:c>
    </x:row>
    <x:row r="70" ht="15" hidden="0">
      <x:c r="A70" s="17" t="s">
        <x:v>257</x:v>
      </x:c>
      <x:c r="B70" s="17" t="s">
        <x:v>130</x:v>
      </x:c>
      <x:c r="C70" s="17" t="s">
        <x:v>309</x:v>
      </x:c>
      <x:c r="D70" s="17" t="s">
        <x:v>310</x:v>
      </x:c>
      <x:c r="E70" s="17" t="s">
        <x:v>176</x:v>
      </x:c>
      <x:c r="F70" s="17" t="s">
        <x:v>311</x:v>
      </x:c>
      <x:c r="G70" s="17" t="s">
        <x:v>289</x:v>
      </x:c>
    </x:row>
    <x:row r="71" ht="15" hidden="0">
      <x:c r="A71" s="18" t="s">
        <x:v>257</x:v>
      </x:c>
      <x:c r="B71" s="18" t="s">
        <x:v>135</x:v>
      </x:c>
      <x:c r="C71" s="18" t="s">
        <x:v>312</x:v>
      </x:c>
      <x:c r="D71" s="18" t="s">
        <x:v>313</x:v>
      </x:c>
      <x:c r="E71" s="18" t="s">
        <x:v>314</x:v>
      </x:c>
      <x:c r="F71" s="18" t="s">
        <x:v>315</x:v>
      </x:c>
      <x:c r="G71" s="18" t="s">
        <x:v>316</x:v>
      </x:c>
    </x:row>
    <x:row r="72" ht="22.350000381469727" hidden="0">
      <x:c r="A72" s="17" t="s">
        <x:v>257</x:v>
      </x:c>
      <x:c r="B72" s="17" t="s">
        <x:v>317</x:v>
      </x:c>
      <x:c r="C72" s="17" t="s">
        <x:v>318</x:v>
      </x:c>
      <x:c r="D72" s="17" t="s">
        <x:v>319</x:v>
      </x:c>
      <x:c r="E72" s="17" t="s">
        <x:v>170</x:v>
      </x:c>
      <x:c r="F72" s="17" t="s">
        <x:v>320</x:v>
      </x:c>
      <x:c r="G72" s="17" t="s">
        <x:v>321</x:v>
      </x:c>
    </x:row>
    <x:row r="73" ht="22.350000381469727" hidden="0">
      <x:c r="A73" s="18" t="s">
        <x:v>257</x:v>
      </x:c>
      <x:c r="B73" s="18" t="s">
        <x:v>322</x:v>
      </x:c>
      <x:c r="C73" s="18" t="s">
        <x:v>323</x:v>
      </x:c>
      <x:c r="D73" s="18" t="s">
        <x:v>324</x:v>
      </x:c>
      <x:c r="E73" s="18" t="s">
        <x:v>325</x:v>
      </x:c>
      <x:c r="F73" s="18" t="s">
        <x:v>326</x:v>
      </x:c>
      <x:c r="G73" s="18" t="s">
        <x:v>327</x:v>
      </x:c>
    </x:row>
    <x:row r="74" ht="15" hidden="0">
      <x:c r="A74" s="17" t="s">
        <x:v>257</x:v>
      </x:c>
      <x:c r="B74" s="17" t="s">
        <x:v>173</x:v>
      </x:c>
      <x:c r="C74" s="17" t="s">
        <x:v>328</x:v>
      </x:c>
      <x:c r="D74" s="17" t="s">
        <x:v>329</x:v>
      </x:c>
      <x:c r="E74" s="17" t="s">
        <x:v>330</x:v>
      </x:c>
      <x:c r="F74" s="17" t="s">
        <x:v>201</x:v>
      </x:c>
      <x:c r="G74" s="17" t="s">
        <x:v>321</x:v>
      </x:c>
    </x:row>
    <x:row r="75" ht="15" hidden="0">
      <x:c r="A75" s="18" t="s">
        <x:v>257</x:v>
      </x:c>
      <x:c r="B75" s="18" t="s">
        <x:v>331</x:v>
      </x:c>
      <x:c r="C75" s="18" t="s">
        <x:v>332</x:v>
      </x:c>
      <x:c r="D75" s="18" t="s">
        <x:v>333</x:v>
      </x:c>
      <x:c r="E75" s="18" t="s">
        <x:v>334</x:v>
      </x:c>
      <x:c r="F75" s="18" t="s">
        <x:v>335</x:v>
      </x:c>
      <x:c r="G75" s="18" t="s">
        <x:v>321</x:v>
      </x:c>
    </x:row>
    <x:row r="76" ht="15" hidden="0">
      <x:c r="A76" s="17" t="s">
        <x:v>257</x:v>
      </x:c>
      <x:c r="B76" s="17" t="s">
        <x:v>188</x:v>
      </x:c>
      <x:c r="C76" s="17" t="s">
        <x:v>336</x:v>
      </x:c>
      <x:c r="D76" s="17" t="s">
        <x:v>337</x:v>
      </x:c>
      <x:c r="E76" s="17" t="s">
        <x:v>338</x:v>
      </x:c>
      <x:c r="F76" s="17" t="s">
        <x:v>201</x:v>
      </x:c>
      <x:c r="G76" s="17" t="s">
        <x:v>321</x:v>
      </x:c>
    </x:row>
    <x:row r="77" ht="15" hidden="0">
      <x:c r="A77" s="18" t="s">
        <x:v>257</x:v>
      </x:c>
      <x:c r="B77" s="18" t="s">
        <x:v>192</x:v>
      </x:c>
      <x:c r="C77" s="18" t="s">
        <x:v>339</x:v>
      </x:c>
      <x:c r="D77" s="18" t="s">
        <x:v>340</x:v>
      </x:c>
      <x:c r="E77" s="18" t="s">
        <x:v>341</x:v>
      </x:c>
      <x:c r="F77" s="18" t="s">
        <x:v>342</x:v>
      </x:c>
      <x:c r="G77" s="18" t="s">
        <x:v>321</x:v>
      </x:c>
    </x:row>
    <x:row r="78" ht="15" hidden="0">
      <x:c r="A78" s="17" t="s">
        <x:v>257</x:v>
      </x:c>
      <x:c r="B78" s="17" t="s">
        <x:v>198</x:v>
      </x:c>
      <x:c r="C78" s="17" t="s">
        <x:v>343</x:v>
      </x:c>
      <x:c r="D78" s="17" t="s">
        <x:v>344</x:v>
      </x:c>
      <x:c r="E78" s="17" t="s">
        <x:v>345</x:v>
      </x:c>
      <x:c r="F78" s="17" t="s">
        <x:v>346</x:v>
      </x:c>
      <x:c r="G78" s="17" t="s">
        <x:v>347</x:v>
      </x:c>
    </x:row>
    <x:row r="79" ht="15" hidden="0">
      <x:c r="A79" s="18" t="s">
        <x:v>257</x:v>
      </x:c>
      <x:c r="B79" s="18" t="s">
        <x:v>203</x:v>
      </x:c>
      <x:c r="C79" s="18" t="s">
        <x:v>348</x:v>
      </x:c>
      <x:c r="D79" s="18" t="s">
        <x:v>349</x:v>
      </x:c>
      <x:c r="E79" s="18" t="s">
        <x:v>350</x:v>
      </x:c>
      <x:c r="F79" s="18" t="s">
        <x:v>351</x:v>
      </x:c>
      <x:c r="G79" s="18" t="s">
        <x:v>352</x:v>
      </x:c>
    </x:row>
    <x:row r="80" ht="15" hidden="0">
      <x:c r="A80" s="17" t="s">
        <x:v>257</x:v>
      </x:c>
      <x:c r="B80" s="17" t="s">
        <x:v>208</x:v>
      </x:c>
      <x:c r="C80" s="17" t="s">
        <x:v>353</x:v>
      </x:c>
      <x:c r="D80" s="17" t="s">
        <x:v>354</x:v>
      </x:c>
      <x:c r="E80" s="17" t="s">
        <x:v>65</x:v>
      </x:c>
      <x:c r="F80" s="17" t="s">
        <x:v>161</x:v>
      </x:c>
      <x:c r="G80" s="17" t="s">
        <x:v>355</x:v>
      </x:c>
    </x:row>
    <x:row r="82" ht="19.5" hidden="0" customHeight="1">
      <x:c r="A82" s="21" t="s">
        <x:v>356</x:v>
      </x:c>
      <x:c r="B82" s="21"/>
      <x:c r="C82" s="21"/>
      <x:c r="D82" s="21"/>
      <x:c r="E82" s="21"/>
      <x:c r="F82" s="21"/>
      <x:c r="G82" s="21"/>
    </x:row>
    <x:row r="83" ht="24" hidden="0" customHeight="1">
      <x:c r="A83" s="16" t="s">
        <x:v>39</x:v>
      </x:c>
      <x:c r="B83" s="16" t="s">
        <x:v>40</x:v>
      </x:c>
      <x:c r="C83" s="16" t="s">
        <x:v>41</x:v>
      </x:c>
      <x:c r="D83" s="16" t="s">
        <x:v>42</x:v>
      </x:c>
      <x:c r="E83" s="16" t="s">
        <x:v>43</x:v>
      </x:c>
      <x:c r="F83" s="16" t="s">
        <x:v>44</x:v>
      </x:c>
      <x:c r="G83" s="16" t="s">
        <x:v>45</x:v>
      </x:c>
    </x:row>
    <x:row r="84" ht="15" hidden="0">
      <x:c r="A84" s="17" t="s">
        <x:v>257</x:v>
      </x:c>
      <x:c r="B84" s="17" t="s">
        <x:v>212</x:v>
      </x:c>
      <x:c r="C84" s="17" t="s">
        <x:v>357</x:v>
      </x:c>
      <x:c r="D84" s="17" t="s">
        <x:v>358</x:v>
      </x:c>
      <x:c r="E84" s="17" t="s">
        <x:v>133</x:v>
      </x:c>
      <x:c r="F84" s="17" t="s">
        <x:v>191</x:v>
      </x:c>
      <x:c r="G84" s="17" t="s">
        <x:v>187</x:v>
      </x:c>
    </x:row>
    <x:row r="85" ht="15" hidden="0">
      <x:c r="A85" s="18" t="s">
        <x:v>257</x:v>
      </x:c>
      <x:c r="B85" s="18" t="s">
        <x:v>216</x:v>
      </x:c>
      <x:c r="C85" s="18" t="s">
        <x:v>359</x:v>
      </x:c>
      <x:c r="D85" s="18" t="s">
        <x:v>360</x:v>
      </x:c>
      <x:c r="E85" s="18" t="s">
        <x:v>65</x:v>
      </x:c>
      <x:c r="F85" s="18" t="s">
        <x:v>361</x:v>
      </x:c>
      <x:c r="G85" s="18" t="s">
        <x:v>187</x:v>
      </x:c>
    </x:row>
    <x:row r="86" ht="15" hidden="0">
      <x:c r="A86" s="17" t="s">
        <x:v>257</x:v>
      </x:c>
      <x:c r="B86" s="17" t="s">
        <x:v>220</x:v>
      </x:c>
      <x:c r="C86" s="17" t="s">
        <x:v>362</x:v>
      </x:c>
      <x:c r="D86" s="17" t="s">
        <x:v>363</x:v>
      </x:c>
      <x:c r="E86" s="17" t="s">
        <x:v>195</x:v>
      </x:c>
      <x:c r="F86" s="17" t="s">
        <x:v>196</x:v>
      </x:c>
      <x:c r="G86" s="17" t="s">
        <x:v>364</x:v>
      </x:c>
    </x:row>
    <x:row r="87" ht="15" hidden="0">
      <x:c r="A87" s="18" t="s">
        <x:v>257</x:v>
      </x:c>
      <x:c r="B87" s="18" t="s">
        <x:v>225</x:v>
      </x:c>
      <x:c r="C87" s="18" t="s">
        <x:v>365</x:v>
      </x:c>
      <x:c r="D87" s="18" t="s">
        <x:v>366</x:v>
      </x:c>
      <x:c r="E87" s="18" t="s">
        <x:v>195</x:v>
      </x:c>
      <x:c r="F87" s="18" t="s">
        <x:v>201</x:v>
      </x:c>
      <x:c r="G87" s="18" t="s">
        <x:v>367</x:v>
      </x:c>
    </x:row>
    <x:row r="88" ht="15" hidden="0">
      <x:c r="A88" s="17" t="s">
        <x:v>257</x:v>
      </x:c>
      <x:c r="B88" s="17" t="s">
        <x:v>230</x:v>
      </x:c>
      <x:c r="C88" s="17" t="s">
        <x:v>368</x:v>
      </x:c>
      <x:c r="D88" s="17" t="s">
        <x:v>369</x:v>
      </x:c>
      <x:c r="E88" s="17" t="s">
        <x:v>370</x:v>
      </x:c>
      <x:c r="F88" s="17" t="s">
        <x:v>371</x:v>
      </x:c>
      <x:c r="G88" s="17" t="s">
        <x:v>187</x:v>
      </x:c>
    </x:row>
    <x:row r="89" ht="15" hidden="0">
      <x:c r="A89" s="18" t="s">
        <x:v>257</x:v>
      </x:c>
      <x:c r="B89" s="18" t="s">
        <x:v>372</x:v>
      </x:c>
      <x:c r="C89" s="18" t="s">
        <x:v>373</x:v>
      </x:c>
      <x:c r="D89" s="18" t="s">
        <x:v>374</x:v>
      </x:c>
      <x:c r="E89" s="18" t="s">
        <x:v>170</x:v>
      </x:c>
      <x:c r="F89" s="18" t="s">
        <x:v>201</x:v>
      </x:c>
      <x:c r="G89" s="18" t="s">
        <x:v>367</x:v>
      </x:c>
    </x:row>
    <x:row r="90" ht="15" hidden="0">
      <x:c r="A90" s="17" t="s">
        <x:v>257</x:v>
      </x:c>
      <x:c r="B90" s="17" t="s">
        <x:v>246</x:v>
      </x:c>
      <x:c r="C90" s="17" t="s">
        <x:v>375</x:v>
      </x:c>
      <x:c r="D90" s="17" t="s">
        <x:v>376</x:v>
      </x:c>
      <x:c r="E90" s="17" t="s">
        <x:v>65</x:v>
      </x:c>
      <x:c r="F90" s="17" t="s">
        <x:v>377</x:v>
      </x:c>
      <x:c r="G90" s="17" t="s">
        <x:v>187</x:v>
      </x:c>
    </x:row>
    <x:row r="91" ht="15" hidden="0">
      <x:c r="A91" s="18" t="s">
        <x:v>257</x:v>
      </x:c>
      <x:c r="B91" s="18" t="s">
        <x:v>252</x:v>
      </x:c>
      <x:c r="C91" s="18" t="s">
        <x:v>378</x:v>
      </x:c>
      <x:c r="D91" s="18" t="s">
        <x:v>379</x:v>
      </x:c>
      <x:c r="E91" s="18" t="s">
        <x:v>65</x:v>
      </x:c>
      <x:c r="F91" s="18" t="s">
        <x:v>380</x:v>
      </x:c>
      <x:c r="G91" s="18" t="s">
        <x:v>187</x:v>
      </x:c>
    </x:row>
    <x:row r="92" ht="15" hidden="0">
      <x:c r="A92" s="17" t="s">
        <x:v>257</x:v>
      </x:c>
      <x:c r="B92" s="17" t="s">
        <x:v>381</x:v>
      </x:c>
      <x:c r="C92" s="17" t="s">
        <x:v>382</x:v>
      </x:c>
      <x:c r="D92" s="17" t="s">
        <x:v>383</x:v>
      </x:c>
      <x:c r="E92" s="17" t="s">
        <x:v>338</x:v>
      </x:c>
      <x:c r="F92" s="17" t="s">
        <x:v>201</x:v>
      </x:c>
      <x:c r="G92" s="17" t="s">
        <x:v>367</x:v>
      </x:c>
    </x:row>
    <x:row r="93" ht="15" hidden="0">
      <x:c r="A93" s="18" t="s">
        <x:v>257</x:v>
      </x:c>
      <x:c r="B93" s="18" t="s">
        <x:v>384</x:v>
      </x:c>
      <x:c r="C93" s="18" t="s">
        <x:v>385</x:v>
      </x:c>
      <x:c r="D93" s="18" t="s">
        <x:v>386</x:v>
      </x:c>
      <x:c r="E93" s="18" t="s">
        <x:v>334</x:v>
      </x:c>
      <x:c r="F93" s="18" t="s">
        <x:v>201</x:v>
      </x:c>
      <x:c r="G93" s="18" t="s">
        <x:v>367</x:v>
      </x:c>
    </x:row>
    <x:row r="94" ht="15" hidden="0">
      <x:c r="A94" s="17" t="s">
        <x:v>257</x:v>
      </x:c>
      <x:c r="B94" s="17" t="s">
        <x:v>387</x:v>
      </x:c>
      <x:c r="C94" s="17" t="s">
        <x:v>388</x:v>
      </x:c>
      <x:c r="D94" s="17" t="s">
        <x:v>389</x:v>
      </x:c>
      <x:c r="E94" s="17" t="s">
        <x:v>334</x:v>
      </x:c>
      <x:c r="F94" s="17" t="s">
        <x:v>201</x:v>
      </x:c>
      <x:c r="G94" s="17" t="s">
        <x:v>367</x:v>
      </x:c>
    </x:row>
    <x:row r="95" ht="15" hidden="0">
      <x:c r="A95" s="18" t="s">
        <x:v>257</x:v>
      </x:c>
      <x:c r="B95" s="18" t="s">
        <x:v>390</x:v>
      </x:c>
      <x:c r="C95" s="18" t="s">
        <x:v>391</x:v>
      </x:c>
      <x:c r="D95" s="18" t="s">
        <x:v>392</x:v>
      </x:c>
      <x:c r="E95" s="18" t="s">
        <x:v>233</x:v>
      </x:c>
      <x:c r="F95" s="18" t="s">
        <x:v>393</x:v>
      </x:c>
      <x:c r="G95" s="18" t="s">
        <x:v>235</x:v>
      </x:c>
    </x:row>
    <x:row r="96" ht="22.350000381469727" hidden="0">
      <x:c r="A96" s="17" t="s">
        <x:v>257</x:v>
      </x:c>
      <x:c r="B96" s="17" t="s">
        <x:v>394</x:v>
      </x:c>
      <x:c r="C96" s="17" t="s">
        <x:v>395</x:v>
      </x:c>
      <x:c r="D96" s="17" t="s">
        <x:v>396</x:v>
      </x:c>
      <x:c r="E96" s="17" t="s">
        <x:v>223</x:v>
      </x:c>
      <x:c r="F96" s="17" t="s">
        <x:v>397</x:v>
      </x:c>
      <x:c r="G96" s="17" t="s">
        <x:v>398</x:v>
      </x:c>
    </x:row>
    <x:row r="98" ht="19.5" hidden="0" customHeight="1">
      <x:c r="A98" s="15" t="s">
        <x:v>399</x:v>
      </x:c>
      <x:c r="B98" s="15"/>
      <x:c r="C98" s="15"/>
      <x:c r="D98" s="15"/>
      <x:c r="E98" s="15"/>
      <x:c r="F98" s="15"/>
      <x:c r="G98" s="15"/>
    </x:row>
    <x:row r="99" ht="24" hidden="0" customHeight="1">
      <x:c r="A99" s="16" t="s">
        <x:v>39</x:v>
      </x:c>
      <x:c r="B99" s="16" t="s">
        <x:v>40</x:v>
      </x:c>
      <x:c r="C99" s="16" t="s">
        <x:v>41</x:v>
      </x:c>
      <x:c r="D99" s="16" t="s">
        <x:v>42</x:v>
      </x:c>
      <x:c r="E99" s="16" t="s">
        <x:v>43</x:v>
      </x:c>
      <x:c r="F99" s="16" t="s">
        <x:v>44</x:v>
      </x:c>
      <x:c r="G99" s="16" t="s">
        <x:v>45</x:v>
      </x:c>
    </x:row>
    <x:row r="100" ht="15" hidden="0">
      <x:c r="A100" s="17" t="s">
        <x:v>257</x:v>
      </x:c>
      <x:c r="B100" s="17" t="s">
        <x:v>400</x:v>
      </x:c>
      <x:c r="C100" s="17" t="s">
        <x:v>401</x:v>
      </x:c>
      <x:c r="D100" s="17" t="s">
        <x:v>402</x:v>
      </x:c>
      <x:c r="E100" s="17" t="s">
        <x:v>403</x:v>
      </x:c>
      <x:c r="F100" s="17" t="s">
        <x:v>201</x:v>
      </x:c>
      <x:c r="G100" s="17" t="s">
        <x:v>404</x:v>
      </x:c>
    </x:row>
    <x:row r="101" ht="15" hidden="0">
      <x:c r="A101" s="18" t="s">
        <x:v>257</x:v>
      </x:c>
      <x:c r="B101" s="18" t="s">
        <x:v>405</x:v>
      </x:c>
      <x:c r="C101" s="18" t="s">
        <x:v>406</x:v>
      </x:c>
      <x:c r="D101" s="18" t="s">
        <x:v>407</x:v>
      </x:c>
      <x:c r="E101" s="18" t="s">
        <x:v>223</x:v>
      </x:c>
      <x:c r="F101" s="18" t="s">
        <x:v>408</x:v>
      </x:c>
      <x:c r="G101" s="18" t="s">
        <x:v>409</x:v>
      </x:c>
    </x:row>
    <x:row r="102" ht="15" hidden="0">
      <x:c r="A102" s="17" t="s">
        <x:v>257</x:v>
      </x:c>
      <x:c r="B102" s="17" t="s">
        <x:v>410</x:v>
      </x:c>
      <x:c r="C102" s="17" t="s">
        <x:v>411</x:v>
      </x:c>
      <x:c r="D102" s="17" t="s">
        <x:v>412</x:v>
      </x:c>
      <x:c r="E102" s="17" t="s">
        <x:v>413</x:v>
      </x:c>
      <x:c r="F102" s="17" t="s">
        <x:v>414</x:v>
      </x:c>
      <x:c r="G102" s="17" t="s">
        <x:v>251</x:v>
      </x:c>
    </x:row>
    <x:row r="103" ht="15" hidden="0">
      <x:c r="A103" s="18" t="s">
        <x:v>257</x:v>
      </x:c>
      <x:c r="B103" s="18" t="s">
        <x:v>415</x:v>
      </x:c>
      <x:c r="C103" s="18" t="s">
        <x:v>416</x:v>
      </x:c>
      <x:c r="D103" s="18" t="s">
        <x:v>417</x:v>
      </x:c>
      <x:c r="E103" s="18" t="s">
        <x:v>223</x:v>
      </x:c>
      <x:c r="F103" s="18" t="s">
        <x:v>418</x:v>
      </x:c>
      <x:c r="G103" s="18" t="s">
        <x:v>251</x:v>
      </x:c>
    </x:row>
    <x:row r="104" ht="22.350000381469727" hidden="0">
      <x:c r="A104" s="17" t="s">
        <x:v>257</x:v>
      </x:c>
      <x:c r="B104" s="17" t="s">
        <x:v>419</x:v>
      </x:c>
      <x:c r="C104" s="17" t="s">
        <x:v>420</x:v>
      </x:c>
      <x:c r="D104" s="17" t="s">
        <x:v>421</x:v>
      </x:c>
      <x:c r="E104" s="17" t="s">
        <x:v>103</x:v>
      </x:c>
      <x:c r="F104" s="17" t="s">
        <x:v>422</x:v>
      </x:c>
      <x:c r="G104" s="17" t="s">
        <x:v>251</x:v>
      </x:c>
    </x:row>
    <x:row r="105" ht="15" hidden="0">
      <x:c r="A105" s="18" t="s">
        <x:v>257</x:v>
      </x:c>
      <x:c r="B105" s="18" t="s">
        <x:v>423</x:v>
      </x:c>
      <x:c r="C105" s="18" t="s">
        <x:v>424</x:v>
      </x:c>
      <x:c r="D105" s="18" t="s">
        <x:v>425</x:v>
      </x:c>
      <x:c r="E105" s="18" t="s">
        <x:v>426</x:v>
      </x:c>
      <x:c r="F105" s="18" t="s">
        <x:v>427</x:v>
      </x:c>
      <x:c r="G105" s="18" t="s">
        <x:v>251</x:v>
      </x:c>
    </x:row>
    <x:row r="108" ht="15" hidden="0">
      <x:c r="A108" s="22" t="s">
        <x:v>428</x:v>
      </x:c>
    </x:row>
    <x:row r="109" ht="15" hidden="0" customHeight="1">
      <x:c r="A109" s="12" t="s">
        <x:v>429</x:v>
      </x:c>
      <x:c r="B109" s="12"/>
      <x:c r="C109" s="12"/>
      <x:c r="D109" s="12"/>
      <x:c r="E109" s="12"/>
      <x:c r="F109" s="12"/>
      <x:c r="G109" s="12"/>
    </x:row>
    <x:row r="110" ht="15" hidden="0">
      <x:c r="A110" s="12"/>
      <x:c r="B110" s="12"/>
      <x:c r="C110" s="12"/>
      <x:c r="D110" s="12"/>
      <x:c r="E110" s="12"/>
      <x:c r="F110" s="12"/>
      <x:c r="G110" s="12"/>
    </x:row>
    <x:row r="112">
      <x:c r="A112" t="s">
        <x:v>39</x:v>
      </x:c>
      <x:c r="B112" t="s">
        <x:v>40</x:v>
      </x:c>
      <x:c r="C112" t="s">
        <x:v>41</x:v>
      </x:c>
      <x:c r="D112" t="s">
        <x:v>42</x:v>
      </x:c>
      <x:c r="E112" t="s">
        <x:v>43</x:v>
      </x:c>
      <x:c r="F112" t="s">
        <x:v>44</x:v>
      </x:c>
      <x:c r="G112" t="s">
        <x:v>45</x:v>
      </x:c>
    </x:row>
    <x:row r="113" ht="80" customHeight="1">
      <x:c r="A113" s="89" t="str">
        <x:v>02_real_parts</x:v>
      </x:c>
      <x:c r="B113" s="89" t="str">
        <x:v>Q</x:v>
      </x:c>
      <x:c r="C113" s="89" t="str">
        <x:v>record_status</x:v>
      </x:c>
      <x:c r="D113" s="89" t="str">
        <x:v>Research parts cannot publish until taxonomy and identity mappings exist.</x:v>
      </x:c>
      <x:c r="E113" s="89" t="str">
        <x:v>TEXT</x:v>
      </x:c>
      <x:c r="F113" s="89" t="str">
        <x:v>STAGED_NOT_PUBLISHABLE</x:v>
      </x:c>
      <x:c r="G113" s="89" t="str">
        <x:v>Research workflow</x:v>
      </x:c>
    </x:row>
    <x:row r="114" ht="80" customHeight="1">
      <x:c r="A114" s="89" t="str">
        <x:v>02_real_parts</x:v>
      </x:c>
      <x:c r="B114" s="89" t="str">
        <x:v>R:T</x:v>
      </x:c>
      <x:c r="C114" s="89" t="str">
        <x:v>source_url / verification_notes / checked_at</x:v>
      </x:c>
      <x:c r="D114" s="89" t="str">
        <x:v>Claim provenance, limits and actual review date.</x:v>
      </x:c>
      <x:c r="E114" s="89" t="str">
        <x:v>URL / TEXT / date</x:v>
      </x:c>
      <x:c r="F114" s="89" t="str">
        <x:v>Source basis appears in attributes_json._provenance</x:v>
      </x:c>
      <x:c r="G114" s="89" t="str">
        <x:v>S21-S29</x:v>
      </x:c>
    </x:row>
    <x:row r="115" ht="80" customHeight="1">
      <x:c r="A115" s="89" t="str">
        <x:v>03_real_fitments</x:v>
      </x:c>
      <x:c r="B115" s="89" t="str">
        <x:v>Q</x:v>
      </x:c>
      <x:c r="C115" s="89" t="str">
        <x:v>local_sample_vehicle_ref</x:v>
      </x:c>
      <x:c r="D115" s="89" t="str">
        <x:v>Legacy local cross-reference only; never load as licensed VCdb ID.</x:v>
      </x:c>
      <x:c r="E115" s="89" t="str">
        <x:v>TEXT</x:v>
      </x:c>
      <x:c r="F115" s="89" t="str">
        <x:v>910002</x:v>
      </x:c>
      <x:c r="G115" s="89" t="str">
        <x:v>Existing workbook</x:v>
      </x:c>
    </x:row>
    <x:row r="116" ht="80" customHeight="1">
      <x:c r="A116" s="89" t="str">
        <x:v>03_real_fitments</x:v>
      </x:c>
      <x:c r="B116" s="89" t="str">
        <x:v>R</x:v>
      </x:c>
      <x:c r="C116" s="89" t="str">
        <x:v>record_status</x:v>
      </x:c>
      <x:c r="D116" s="89" t="str">
        <x:v>Staging state; blank tier is deliberate, not Tier D.</x:v>
      </x:c>
      <x:c r="E116" s="89" t="str">
        <x:v>TEXT</x:v>
      </x:c>
      <x:c r="F116" s="89" t="str">
        <x:v>STAGED_NOT_PUBLISHABLE</x:v>
      </x:c>
      <x:c r="G116" s="89" t="str">
        <x:v>Research workflow</x:v>
      </x:c>
    </x:row>
    <x:row r="117" ht="80" customHeight="1">
      <x:c r="A117" s="89" t="str">
        <x:v>03_real_fitments</x:v>
      </x:c>
      <x:c r="B117" s="89" t="str">
        <x:v>S:T</x:v>
      </x:c>
      <x:c r="C117" s="89" t="str">
        <x:v>basis_and_remaining_checks / checked_at</x:v>
      </x:c>
      <x:c r="D117" s="89" t="str">
        <x:v>Source claim and unresolved gates. No named human verifier invented.</x:v>
      </x:c>
      <x:c r="E117" s="89" t="str">
        <x:v>TEXT / date</x:v>
      </x:c>
      <x:c r="F117" s="89" t="str">
        <x:v>Missing mappings, qualifiers, physical checks and review</x:v>
      </x:c>
      <x:c r="G117" s="89" t="str">
        <x:v>S21-S29</x:v>
      </x:c>
    </x:row>
    <x:row r="118" ht="80" customHeight="1">
      <x:c r="A118" s="89" t="str">
        <x:v>02_battery_specifications</x:v>
      </x:c>
      <x:c r="B118" s="89" t="str">
        <x:v>AY</x:v>
      </x:c>
      <x:c r="C118" s="89" t="str">
        <x:v>verification_notes</x:v>
      </x:c>
      <x:c r="D118" s="89" t="str">
        <x:v>Basis/source map for typed numeric fields. RAV4 O/P are minimum requirements; Camry service ratings are product values.</x:v>
      </x:c>
      <x:c r="E118" s="89" t="str">
        <x:v>TEXT</x:v>
      </x:c>
      <x:c r="F118" s="89" t="str">
        <x:v>[OEM], [aftermarket], [calculated]; cited source ID</x:v>
      </x:c>
      <x:c r="G118" s="89" t="str">
        <x:v>S21-S29</x:v>
      </x:c>
    </x:row>
    <x:row r="119" ht="80" customHeight="1">
      <x:c r="A119" s="89" t="str">
        <x:v>01b_sources</x:v>
      </x:c>
      <x:c r="B119" s="89" t="str">
        <x:v>F:H</x:v>
      </x:c>
      <x:c r="C119" s="89" t="str">
        <x:v>URL / checked_at / scope</x:v>
      </x:c>
      <x:c r="D119" s="89" t="str">
        <x:v>Source-strength grade describes evidence origin, never automatic fitment confidence.</x:v>
      </x:c>
      <x:c r="E119" s="89" t="str">
        <x:v>URL / date / TEXT</x:v>
      </x:c>
      <x:c r="F119" s="89" t="str">
        <x:v>A manufacturer source may still support only an unapproved candidate.</x:v>
      </x:c>
      <x:c r="G119" s="89" t="str">
        <x:v>Reviewed source</x:v>
      </x:c>
    </x:row>
    <x:row r="121" ht="15" hidden="0" customHeight="1">
      <x:c r="A121" t="str">
        <x:v>02_parts / 03_fitments</x:v>
      </x:c>
      <x:c r="B121" t="str">
        <x:v>O / M</x:v>
      </x:c>
      <x:c r="C121" t="str">
        <x:v>data_source_id</x:v>
      </x:c>
      <x:c r="D121" t="str">
        <x:v>Synthetic-only integer gate</x:v>
      </x:c>
      <x:c r="E121" t="str">
        <x:v>INTEGER</x:v>
      </x:c>
      <x:c r="F121" t="str">
        <x:v>999 only; no real rows on these sheets</x:v>
      </x:c>
      <x:c r="G121" t="str">
        <x:v>Ingestion contract</x:v>
      </x:c>
    </x:row>
    <x:row r="122" ht="15" hidden="0" customHeight="1">
      <x:c r="A122" t="str">
        <x:v>02_real_parts / 03_real_fitments</x:v>
      </x:c>
      <x:c r="B122" t="str">
        <x:v>O / M</x:v>
      </x:c>
      <x:c r="C122" t="str">
        <x:v>data_source_id</x:v>
      </x:c>
      <x:c r="D122" t="str">
        <x:v>Integer key to 01b_sources column I</x:v>
      </x:c>
      <x:c r="E122" t="str">
        <x:v>INTEGER</x:v>
      </x:c>
      <x:c r="F122" t="str">
        <x:v>21–29 mapped to narrative S21–S29; never 999</x:v>
      </x:c>
      <x:c r="G122" t="str">
        <x:v>Local source register</x:v>
      </x:c>
    </x:row>
    <x:row r="123" ht="15" hidden="0" customHeight="1">
      <x:c r="A123" t="str">
        <x:v>02_battery_specifications</x:v>
      </x:c>
      <x:c r="B123" t="str">
        <x:v>AZ</x:v>
      </x:c>
      <x:c r="C123" t="str">
        <x:v>verification_status</x:v>
      </x:c>
      <x:c r="D123" t="str">
        <x:v>Controlled enum; qualifiers belong in AY</x:v>
      </x:c>
      <x:c r="E123" t="str">
        <x:v>ENUM</x:v>
      </x:c>
      <x:c r="F123" t="str">
        <x:v>Verified / Partially verified / Conflicting sources / Not publicly verified / Pending</x:v>
      </x:c>
      <x:c r="G123" t="str">
        <x:v>User requirements</x:v>
      </x:c>
    </x:row>
    <x:row r="124" ht="15" hidden="0" customHeight="1">
      <x:c r="A124" t="str">
        <x:v>02_battery_specifications</x:v>
      </x:c>
      <x:c r="B124" t="str">
        <x:v>G</x:v>
      </x:c>
      <x:c r="C124" t="str">
        <x:v>linked_vcdb_vehicle_ids</x:v>
      </x:c>
      <x:c r="D124" t="str">
        <x:v>Exact existing local keys, semicolon-separated; blank when pending</x:v>
      </x:c>
      <x:c r="E124" t="str">
        <x:v>TEXT</x:v>
      </x:c>
      <x:c r="F124" t="str">
        <x:v>910004; resolves to 01_vehicles B; not licensed VCdb</x:v>
      </x:c>
      <x:c r="G124" t="str">
        <x:v>Local workbook linkage</x:v>
      </x:c>
    </x:row>
    <x:row r="125" ht="15" hidden="0" customHeight="1">
      <x:c r="A125" t="str">
        <x:v>01_vehicles</x:v>
      </x:c>
      <x:c r="B125" t="str">
        <x:v>AQ</x:v>
      </x:c>
      <x:c r="C125" t="str">
        <x:v>electrical_verification_notes</x:v>
      </x:c>
      <x:c r="D125" t="str">
        <x:v>Nuance moved out of status AP</x:v>
      </x:c>
      <x:c r="E125" t="str">
        <x:v>TEXT</x:v>
      </x:c>
      <x:c r="F125" t="str">
        <x:v>Preserve evidence scope and unresolved qualifiers</x:v>
      </x:c>
      <x:c r="G125" t="str">
        <x:v>Correction review</x:v>
      </x:c>
    </x:row>
    <x:row r="127" ht="66" hidden="0" customHeight="1">
      <x:c r="A127" s="88" t="str">
        <x:v>01_vehicles / 02_battery_specifications</x:v>
      </x:c>
      <x:c r="B127" s="88" t="str">
        <x:v>Specification fields</x:v>
      </x:c>
      <x:c r="C127" s="88" t="str">
        <x:v>basis-tag scope</x:v>
      </x:c>
      <x:c r="D127" s="88" t="str">
        <x:v>Basis tags apply only to specification values. Exempt identifiers, workflow/status fields, synthetic placeholders and unknown markers.</x:v>
      </x:c>
      <x:c r="E127" s="88" t="str">
        <x:v>TEXT / numeric + explicit field mapping</x:v>
      </x:c>
      <x:c r="F127" s="88" t="str">
        <x:v>[OEM], [aftermarket], [calculated]; [BCI-standard] only with a cited actual standard. Authorized qualifiers: [aftermarket-typical], [inferred from OEM part naming]. Keep numeric values typed; put the tag/source map in notes.</x:v>
      </x:c>
      <x:c r="G127" s="88" t="str">
        <x:v>Accepted reconciliation policy</x:v>
      </x:c>
    </x:row>
  </x:sheetData>
  <x:mergeCells>
    <x:mergeCell ref="A4:G4"/>
    <x:mergeCell ref="A20:G20"/>
    <x:mergeCell ref="A52:G52"/>
    <x:mergeCell ref="A60:G60"/>
    <x:mergeCell ref="A82:G82"/>
    <x:mergeCell ref="A98:G98"/>
    <x:mergeCell ref="A109:G110"/>
  </x:mergeCells>
  <x:pageMargins left="0.7" right="0.7" top="0.75" bottom="0.75" header="0.3" footer="0.3"/>
</x:worksheet>
</file>

<file path=xl/worksheets/sheet3.xml><?xml version="1.0" encoding="utf-8"?>
<x:worksheet xmlns:x="http://schemas.openxmlformats.org/spreadsheetml/2006/main">
  <x:sheetViews>
    <x:sheetView showGridLines="1" workbookViewId="0">
      <x:pane xSplit="13" ySplit="2" topLeftCell="N3" activePane="bottomRight" state="frozen"/>
    </x:sheetView>
  </x:sheetViews>
  <x:sheetFormatPr defaultColWidth="8.6796875" defaultRowHeight="15"/>
  <x:cols>
    <x:col min="1" max="2" width="13" style="1" hidden="0" customWidth="1"/>
    <x:col min="3" max="3" width="6" style="1" hidden="0" customWidth="1"/>
    <x:col min="4" max="5" width="10" style="1" hidden="0" customWidth="1"/>
    <x:col min="6" max="6" width="16" style="1" hidden="0" customWidth="1"/>
    <x:col min="7" max="7" width="7" style="1" hidden="0" customWidth="1"/>
    <x:col min="8" max="8" width="13" style="1" hidden="0" customWidth="1"/>
    <x:col min="9" max="10" width="8" style="1" hidden="0" customWidth="1"/>
    <x:col min="11" max="11" width="12" style="1" hidden="0" customWidth="1"/>
    <x:col min="12" max="12" width="16" style="1" hidden="0" customWidth="1"/>
    <x:col min="13" max="13" width="9" style="1" hidden="0" customWidth="1"/>
    <x:col min="14" max="14" width="13" style="1" hidden="0" customWidth="1"/>
    <x:col min="15" max="15" width="14" style="1" hidden="0" customWidth="1"/>
    <x:col min="16" max="16" width="16" style="1" hidden="0" customWidth="1"/>
    <x:col min="17" max="17" width="17" style="1" hidden="0" customWidth="1"/>
    <x:col min="18" max="18" width="9" style="1" hidden="0" customWidth="1"/>
    <x:col min="19" max="19" width="13" style="1" hidden="0" customWidth="1"/>
    <x:col min="20" max="20" width="15" style="1" hidden="0" customWidth="1"/>
    <x:col min="21" max="22" width="22" style="1" hidden="0" customWidth="1"/>
    <x:col min="23" max="23" width="14" style="1" hidden="0" customWidth="1"/>
    <x:col min="24" max="24" width="10" style="1" hidden="0" customWidth="1"/>
    <x:col min="25" max="25" width="16" style="1" hidden="0" customWidth="1"/>
    <x:col min="26" max="26" width="14" style="1" hidden="0" customWidth="1"/>
    <x:col min="27" max="27" width="34" style="1" hidden="0" customWidth="1"/>
    <x:col min="28" max="28" width="14" style="1" hidden="0" customWidth="1"/>
    <x:col min="29" max="30" width="12" style="1" hidden="0" customWidth="1"/>
    <x:col min="31" max="31" width="16" style="1" hidden="0" customWidth="1"/>
    <x:col min="32" max="32" width="48" style="1" hidden="0" customWidth="1"/>
    <x:col min="33" max="33" width="40" style="1" hidden="0" customWidth="1"/>
    <x:col min="34" max="34" width="30" style="1" hidden="0" customWidth="1"/>
    <x:col min="35" max="35" width="52" style="1" hidden="0" customWidth="1"/>
    <x:col min="36" max="36" width="70" style="1" hidden="0" customWidth="1"/>
    <x:col min="37" max="37" width="95" style="1" hidden="0" customWidth="1"/>
    <x:col min="38" max="38" width="40" style="1" hidden="0" customWidth="1"/>
    <x:col min="39" max="40" width="8" style="1" hidden="0" customWidth="1"/>
    <x:col min="41" max="42" width="40" style="1" hidden="0" customWidth="1"/>
    <x:col min="43" max="43" width="70" hidden="0" customWidth="1"/>
  </x:cols>
  <x:sheetData>
    <x:row r="1" ht="42" hidden="0" customHeight="1">
      <x:c r="A1" s="23" t="str">
        <x:v>VOLTMAP vehicle research. A-M contain legacy sample identity records, NOT licensed VCdb mappings. data_source_id=999 remains on those rows. S21-S29 support this batch only. Prior Honda research is not a completed audit. New parts and fitments are staged; no production approval.</x:v>
      </x:c>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c r="AO1" s="23"/>
      <x:c r="AP1" s="23"/>
    </x:row>
    <x:row r="2" ht="39.75" hidden="0" customHeight="1">
      <x:c r="A2" s="16" t="s">
        <x:v>47</x:v>
      </x:c>
      <x:c r="B2" s="16" t="s">
        <x:v>53</x:v>
      </x:c>
      <x:c r="C2" s="16" t="s">
        <x:v>57</x:v>
      </x:c>
      <x:c r="D2" s="16" t="s">
        <x:v>63</x:v>
      </x:c>
      <x:c r="E2" s="16" t="s">
        <x:v>69</x:v>
      </x:c>
      <x:c r="F2" s="16" t="s">
        <x:v>73</x:v>
      </x:c>
      <x:c r="G2" s="16" t="s">
        <x:v>77</x:v>
      </x:c>
      <x:c r="H2" s="16" t="s">
        <x:v>81</x:v>
      </x:c>
      <x:c r="I2" s="16" t="s">
        <x:v>85</x:v>
      </x:c>
      <x:c r="J2" s="16" t="s">
        <x:v>91</x:v>
      </x:c>
      <x:c r="K2" s="16" t="s">
        <x:v>96</x:v>
      </x:c>
      <x:c r="L2" s="16" t="s">
        <x:v>101</x:v>
      </x:c>
      <x:c r="M2" s="16" t="s">
        <x:v>106</x:v>
      </x:c>
      <x:c r="N2" s="24" t="s">
        <x:v>111</x:v>
      </x:c>
      <x:c r="O2" s="24" t="s">
        <x:v>117</x:v>
      </x:c>
      <x:c r="P2" s="24" t="s">
        <x:v>122</x:v>
      </x:c>
      <x:c r="Q2" s="24" t="s">
        <x:v>127</x:v>
      </x:c>
      <x:c r="R2" s="24" t="s">
        <x:v>131</x:v>
      </x:c>
      <x:c r="S2" s="24" t="s">
        <x:v>136</x:v>
      </x:c>
      <x:c r="T2" s="24" t="s">
        <x:v>141</x:v>
      </x:c>
      <x:c r="U2" s="24" t="s">
        <x:v>147</x:v>
      </x:c>
      <x:c r="V2" s="24" t="s">
        <x:v>153</x:v>
      </x:c>
      <x:c r="W2" s="24" t="s">
        <x:v>159</x:v>
      </x:c>
      <x:c r="X2" s="24" t="s">
        <x:v>164</x:v>
      </x:c>
      <x:c r="Y2" s="24" t="s">
        <x:v>168</x:v>
      </x:c>
      <x:c r="Z2" s="24" t="s">
        <x:v>174</x:v>
      </x:c>
      <x:c r="AA2" s="24" t="s">
        <x:v>180</x:v>
      </x:c>
      <x:c r="AB2" s="24" t="s">
        <x:v>184</x:v>
      </x:c>
      <x:c r="AC2" s="24" t="s">
        <x:v>189</x:v>
      </x:c>
      <x:c r="AD2" s="24" t="s">
        <x:v>193</x:v>
      </x:c>
      <x:c r="AE2" s="24" t="s">
        <x:v>199</x:v>
      </x:c>
      <x:c r="AF2" s="24" t="s">
        <x:v>204</x:v>
      </x:c>
      <x:c r="AG2" s="24" t="s">
        <x:v>209</x:v>
      </x:c>
      <x:c r="AH2" s="24" t="s">
        <x:v>213</x:v>
      </x:c>
      <x:c r="AI2" s="24" t="s">
        <x:v>217</x:v>
      </x:c>
      <x:c r="AJ2" s="24" t="s">
        <x:v>221</x:v>
      </x:c>
      <x:c r="AK2" s="24" t="s">
        <x:v>226</x:v>
      </x:c>
      <x:c r="AL2" s="24" t="s">
        <x:v>231</x:v>
      </x:c>
      <x:c r="AM2" s="16" t="s">
        <x:v>237</x:v>
      </x:c>
      <x:c r="AN2" s="16" t="s">
        <x:v>242</x:v>
      </x:c>
      <x:c r="AO2" s="24" t="s">
        <x:v>247</x:v>
      </x:c>
      <x:c r="AP2" s="24" t="s">
        <x:v>253</x:v>
      </x:c>
      <x:c r="AQ2" t="str">
        <x:v>electrical_verification_notes</x:v>
      </x:c>
    </x:row>
    <x:row r="3" ht="158.39999389648438" hidden="0" customHeight="1">
      <x:c r="A3" s="151" t="n">
        <x:v>900001</x:v>
      </x:c>
      <x:c r="B3" s="151" t="n">
        <x:v>910001</x:v>
      </x:c>
      <x:c r="C3" s="132" t="n">
        <x:v>2018</x:v>
      </x:c>
      <x:c r="D3" s="132" t="s">
        <x:v>66</x:v>
      </x:c>
      <x:c r="E3" s="132" t="s">
        <x:v>71</x:v>
      </x:c>
      <x:c r="F3" s="132" t="s">
        <x:v>430</x:v>
      </x:c>
      <x:c r="G3" s="132" t="s">
        <x:v>431</x:v>
      </x:c>
      <x:c r="H3" s="151" t="n">
        <x:v>700101</x:v>
      </x:c>
      <x:c r="I3" s="132" t="n">
        <x:v>2</x:v>
      </x:c>
      <x:c r="J3" s="132" t="n">
        <x:v>4</x:v>
      </x:c>
      <x:c r="K3" s="132" t="s">
        <x:v>432</x:v>
      </x:c>
      <x:c r="L3" s="132" t="s">
        <x:v>433</x:v>
      </x:c>
      <x:c r="M3" s="132" t="s">
        <x:v>434</x:v>
      </x:c>
      <x:c r="N3" s="132" t="str">
        <x:v>2018</x:v>
      </x:c>
      <x:c r="O3" s="132" t="s">
        <x:v>119</x:v>
      </x:c>
      <x:c r="P3" s="132" t="s">
        <x:v>435</x:v>
      </x:c>
      <x:c r="Q3" s="132" t="s">
        <x:v>436</x:v>
      </x:c>
      <x:c r="R3" s="132" t="n">
        <x:v>12</x:v>
      </x:c>
      <x:c r="S3" s="132" t="b">
        <x:f aca="0">FALSE()</x:f>
        <x:v>0</x:v>
      </x:c>
      <x:c r="T3" s="132" t="b">
        <x:f aca="0">FALSE()</x:f>
        <x:v>0</x:v>
      </x:c>
      <x:c r="U3" s="132" t="str">
        <x:v>51R candidate; H5 conflict for 2018 2.0L (S3); exact vehicle group Not publicly verified</x:v>
      </x:c>
      <x:c r="V3" s="132" t="s">
        <x:v>437</x:v>
      </x:c>
      <x:c r="W3" s="132" t="s">
        <x:v>438</x:v>
      </x:c>
      <x:c r="X3" s="132" t="n">
        <x:v>12</x:v>
      </x:c>
      <x:c r="Y3" s="132" t="str">
        <x:v>OEM ~400 CCA [OEM] (S31 dealer product listing for 31500-SR1-100M); aftermarket 51R ~410–450 CCA [aftermarket] (S1 service guidance). Product rating does not establish original installed fitment.</x:v>
      </x:c>
      <x:c r="Z3" s="135" t="s">
        <x:v>201</x:v>
      </x:c>
      <x:c r="AA3" s="132" t="s">
        <x:v>439</x:v>
      </x:c>
      <x:c r="AB3" s="132" t="s">
        <x:v>440</x:v>
      </x:c>
      <x:c r="AC3" s="132" t="s">
        <x:v>440</x:v>
      </x:c>
      <x:c r="AD3" s="132" t="s">
        <x:v>440</x:v>
      </x:c>
      <x:c r="AE3" s="135" t="s">
        <x:v>201</x:v>
      </x:c>
      <x:c r="AF3" s="132" t="str">
        <x:v>Not publicly verified for this model year and configuration</x:v>
      </x:c>
      <x:c r="AG3" s="132" t="str">
        <x:v>Not publicly verified for this model year and configuration</x:v>
      </x:c>
      <x:c r="AH3" s="132" t="s">
        <x:v>166</x:v>
      </x:c>
      <x:c r="AI3" s="135" t="str">
        <x:v>Not publicly verified</x:v>
      </x:c>
      <x:c r="AJ3" s="132" t="str">
        <x:v>S9 and S12 describe older/general Honda charging systems; S12 explicitly covers 1990–2012. They do not establish the architecture or setpoints for this 2018/2023 configuration. Exact-year service information is required.</x:v>
      </x:c>
      <x:c r="AK3" s="132" t="str">
        <x:v>2018 LX target only. Group 51R is a candidate; S3 lists H5 for 2018 2.0L and other sources differ. S31 establishes a Group 51R service-product rating, not this vehicle fitment. Confirm installed case, terminals and retention. No generation-wide compatibility approval.</x:v>
      </x:c>
      <x:c r="AL3" s="132" t="s">
        <x:v>441</x:v>
      </x:c>
      <x:c r="AM3" s="132" t="n">
        <x:v>999</x:v>
      </x:c>
      <x:c r="AN3" s="132" t="b">
        <x:f aca="0">TRUE()</x:f>
        <x:v>1</x:v>
      </x:c>
      <x:c r="AO3" s="132" t="str">
        <x:v>S1;S2;S3;S4;S8;S14 (battery/alt) - S9;S10;S11;S12;S13 (charging) ; S31 (OEM service-product CCA; not blanket fitment)</x:v>
      </x:c>
      <x:c r="AP3" s="133" t="str">
        <x:v>Conflicting sources</x:v>
      </x:c>
      <x:c r="AQ3" s="88" t="str">
        <x:v>Legacy research; not revalidated in this batch;  CCA correction: this vehicle sheet was stale; 410–450 was incorrectly labelled OE. B-CIV-001 separates OEM ~400 and aftermarket ~410–450. S31 independently states 400 CCA for the named service product. Scope reconciliation: model_year_range 2016-2021 narrowed to 2018. Broader model-generation/source coverage does not establish every specification across that range. Historical charging claim retained for audit: ~13.5-14.5 at idle; dual-mode (charge ~14.4-14.5 / economy ~12.4-12.9). It is not an accepted setpoint for this row.
Evidence moved from main_fuse_link_rating_a during schema correction: Not publicly verified (owner's-manual fuse chart is authoritative; 9th-gen owners cite a ~100A main fuse)
Source: S18 (9thgencivic.com owner forum), weak historical attribution, no exact thread URL. S19 identifies the required owner-manual fuse chart; no exact-year rating was extracted. The older-generation estimate is not a rating for this selected vehicle.</x:v>
      </x:c>
    </x:row>
    <x:row r="4" ht="158.39999389648438" hidden="0" customHeight="1">
      <x:c r="A4" s="152" t="n">
        <x:v>900001</x:v>
      </x:c>
      <x:c r="B4" s="152" t="n">
        <x:v>910011</x:v>
      </x:c>
      <x:c r="C4" s="147" t="n">
        <x:v>2018</x:v>
      </x:c>
      <x:c r="D4" s="147" t="s">
        <x:v>66</x:v>
      </x:c>
      <x:c r="E4" s="147" t="s">
        <x:v>71</x:v>
      </x:c>
      <x:c r="F4" s="147" t="s">
        <x:v>442</x:v>
      </x:c>
      <x:c r="G4" s="147" t="s">
        <x:v>431</x:v>
      </x:c>
      <x:c r="H4" s="152" t="n">
        <x:v>700102</x:v>
      </x:c>
      <x:c r="I4" s="147" t="n">
        <x:v>1.5</x:v>
      </x:c>
      <x:c r="J4" s="147" t="n">
        <x:v>4</x:v>
      </x:c>
      <x:c r="K4" s="147" t="s">
        <x:v>443</x:v>
      </x:c>
      <x:c r="L4" s="147" t="s">
        <x:v>444</x:v>
      </x:c>
      <x:c r="M4" s="147" t="s">
        <x:v>434</x:v>
      </x:c>
      <x:c r="N4" s="147" t="str">
        <x:v>2018</x:v>
      </x:c>
      <x:c r="O4" s="147" t="s">
        <x:v>119</x:v>
      </x:c>
      <x:c r="P4" s="147" t="s">
        <x:v>445</x:v>
      </x:c>
      <x:c r="Q4" s="147" t="s">
        <x:v>436</x:v>
      </x:c>
      <x:c r="R4" s="147" t="n">
        <x:v>12</x:v>
      </x:c>
      <x:c r="S4" s="147" t="b">
        <x:f aca="0">FALSE()</x:f>
        <x:v>0</x:v>
      </x:c>
      <x:c r="T4" s="147" t="b">
        <x:f aca="0">FALSE()</x:f>
        <x:v>0</x:v>
      </x:c>
      <x:c r="U4" s="147" t="str">
        <x:v>51R candidate; exact 2018 EX-T fitment Not publicly verified</x:v>
      </x:c>
      <x:c r="V4" s="147" t="s">
        <x:v>437</x:v>
      </x:c>
      <x:c r="W4" s="147" t="s">
        <x:v>438</x:v>
      </x:c>
      <x:c r="X4" s="147" t="n">
        <x:v>12</x:v>
      </x:c>
      <x:c r="Y4" s="147" t="str">
        <x:v>OEM ~400 CCA [OEM] (S31 dealer product listing for 31500-SR1-100M); aftermarket 51R ~410–450 CCA [aftermarket] (S1 service guidance). Product rating does not establish original installed fitment.</x:v>
      </x:c>
      <x:c r="Z4" s="148" t="s">
        <x:v>201</x:v>
      </x:c>
      <x:c r="AA4" s="147" t="s">
        <x:v>446</x:v>
      </x:c>
      <x:c r="AB4" s="147" t="s">
        <x:v>440</x:v>
      </x:c>
      <x:c r="AC4" s="147" t="s">
        <x:v>440</x:v>
      </x:c>
      <x:c r="AD4" s="147" t="s">
        <x:v>440</x:v>
      </x:c>
      <x:c r="AE4" s="148" t="s">
        <x:v>201</x:v>
      </x:c>
      <x:c r="AF4" s="147" t="str">
        <x:v>Not publicly verified for this model year and configuration</x:v>
      </x:c>
      <x:c r="AG4" s="147" t="str">
        <x:v>Not publicly verified for this model year and configuration</x:v>
      </x:c>
      <x:c r="AH4" s="147" t="s">
        <x:v>166</x:v>
      </x:c>
      <x:c r="AI4" s="148" t="str">
        <x:v>Not publicly verified</x:v>
      </x:c>
      <x:c r="AJ4" s="147" t="str">
        <x:v>S9 and S12 describe older/general Honda charging systems; S12 explicitly covers 1990–2012. They do not establish the architecture or setpoints for this 2018/2023 configuration. Exact-year service information is required.</x:v>
      </x:c>
      <x:c r="AK4" s="147" t="str">
        <x:v>2018 EX-T target only. Group 51R is a candidate; do not infer compatibility from the 2.0L row or the service-product supersession. Confirm exact VIN/installed battery. Alternator part and mounting claims remain separately unverified.</x:v>
      </x:c>
      <x:c r="AL4" s="147" t="s">
        <x:v>447</x:v>
      </x:c>
      <x:c r="AM4" s="147" t="n">
        <x:v>999</x:v>
      </x:c>
      <x:c r="AN4" s="147" t="b">
        <x:f aca="0">TRUE()</x:f>
        <x:v>1</x:v>
      </x:c>
      <x:c r="AO4" s="147" t="str">
        <x:v>S1;S2;S3;S4;S8 (battery) - S9;S10;S11;S12;S13 (charging) ; S31 (OEM service-product CCA; not blanket fitment)</x:v>
      </x:c>
      <x:c r="AP4" s="133" t="str">
        <x:v>Partially verified</x:v>
      </x:c>
      <x:c r="AQ4" s="88" t="str">
        <x:v>Legacy research; not revalidated in this batch;  CCA correction: this vehicle sheet was stale; 410–450 was incorrectly labelled OE. B-CIV-001 separates OEM ~400 and aftermarket ~410–450. S31 independently states 400 CCA for the named service product. Scope reconciliation: model_year_range 2016-2021 narrowed to 2018. Broader model-generation/source coverage does not establish every specification across that range. Historical charging claim retained for audit: ~13.5-14.5 at idle; dual-mode (charge ~14.4-14.5 / economy ~12.4-12.9). It is not an accepted setpoint for this row.
Evidence moved from main_fuse_link_rating_a during schema correction: Not publicly verified (owner's-manual fuse chart is authoritative; 9th-gen owners cite a ~100A main fuse)
Source: S18 (9thgencivic.com owner forum), weak historical attribution, no exact thread URL. S19 identifies the required owner-manual fuse chart; no exact-year rating was extracted. The older-generation estimate is not a rating for this selected vehicle.</x:v>
      </x:c>
    </x:row>
    <x:row r="5" ht="52.79999923706055" hidden="0" customHeight="1">
      <x:c r="A5" s="151" t="n">
        <x:v>900001</x:v>
      </x:c>
      <x:c r="B5" s="151" t="n">
        <x:v>910021</x:v>
      </x:c>
      <x:c r="C5" s="132" t="n">
        <x:v>2019</x:v>
      </x:c>
      <x:c r="D5" s="132" t="s">
        <x:v>66</x:v>
      </x:c>
      <x:c r="E5" s="132" t="s">
        <x:v>71</x:v>
      </x:c>
      <x:c r="F5" s="132" t="s">
        <x:v>448</x:v>
      </x:c>
      <x:c r="G5" s="132" t="s">
        <x:v>431</x:v>
      </x:c>
      <x:c r="H5" s="151" t="n">
        <x:v>700111</x:v>
      </x:c>
      <x:c r="I5" s="132" t="n">
        <x:v>1.5</x:v>
      </x:c>
      <x:c r="J5" s="132" t="n">
        <x:v>4</x:v>
      </x:c>
      <x:c r="K5" s="132" t="s">
        <x:v>443</x:v>
      </x:c>
      <x:c r="L5" s="132" t="s">
        <x:v>444</x:v>
      </x:c>
      <x:c r="M5" s="132" t="s">
        <x:v>434</x:v>
      </x:c>
      <x:c r="N5" s="132" t="str">
        <x:v>2019</x:v>
      </x:c>
      <x:c r="O5" s="132" t="s">
        <x:v>449</x:v>
      </x:c>
      <x:c r="P5" s="132" t="s">
        <x:v>450</x:v>
      </x:c>
      <x:c r="Q5" s="132" t="s">
        <x:v>436</x:v>
      </x:c>
      <x:c r="R5" s="132" t="n">
        <x:v>12</x:v>
      </x:c>
      <x:c r="S5" s="132" t="b">
        <x:f aca="0">FALSE()</x:f>
        <x:v>0</x:v>
      </x:c>
      <x:c r="T5" s="132" t="str">
        <x:f aca="0">"Not publicly verified"</x:f>
        <x:v>Not publicly verified</x:v>
      </x:c>
      <x:c r="U5" s="132" t="str">
        <x:v>51R likely - sources conflict (some claim Si needs a larger, higher-CCA case) [unverified]</x:v>
      </x:c>
      <x:c r="V5" s="132" t="str">
        <x:v>Not publicly verified</x:v>
      </x:c>
      <x:c r="W5" s="132" t="str">
        <x:v>Not publicly verified</x:v>
      </x:c>
      <x:c r="X5" s="132" t="n">
        <x:v>12</x:v>
      </x:c>
      <x:c r="Y5" s="135" t="str">
        <x:v>Not publicly verified (Si-specific OE CCA not published)</x:v>
      </x:c>
      <x:c r="Z5" s="135" t="str">
        <x:v>Not publicly verified</x:v>
      </x:c>
      <x:c r="AA5" s="132" t="s">
        <x:v>440</x:v>
      </x:c>
      <x:c r="AB5" s="132" t="s">
        <x:v>440</x:v>
      </x:c>
      <x:c r="AC5" s="132" t="s">
        <x:v>440</x:v>
      </x:c>
      <x:c r="AD5" s="132" t="s">
        <x:v>440</x:v>
      </x:c>
      <x:c r="AE5" s="135" t="s">
        <x:v>201</x:v>
      </x:c>
      <x:c r="AF5" s="132" t="str">
        <x:v>Not publicly verified</x:v>
      </x:c>
      <x:c r="AG5" s="132" t="str">
        <x:v>Not publicly verified</x:v>
      </x:c>
      <x:c r="AH5" s="132" t="s">
        <x:v>166</x:v>
      </x:c>
      <x:c r="AI5" s="135" t="str">
        <x:v>Not publicly verified</x:v>
      </x:c>
      <x:c r="AJ5" s="132" t="str">
        <x:v>Charging strategy and setpoints require exact-year/trim evidence. No standard-trim inheritance.</x:v>
      </x:c>
      <x:c r="AK5" s="132" t="str">
        <x:v>Prior workbook evidence restored: Firestone (S1) gives the standard 51R claim; RevCivic (S5) describes larger Si/Type R cases. The Firestone standard-trim claim does not establish Si fitment. Exact 2019 Si group and CCA remain unresolved. Historical source attributions are retained from the original workbook, not freshly reverified. Confirm exact VIN/installed label before accepting fitment.</x:v>
      </x:c>
      <x:c r="AL5" s="135" t="s">
        <x:v>201</x:v>
      </x:c>
      <x:c r="AM5" s="132" t="n">
        <x:v>999</x:v>
      </x:c>
      <x:c r="AN5" s="132" t="b">
        <x:f aca="0">TRUE()</x:f>
        <x:v>1</x:v>
      </x:c>
      <x:c r="AO5" s="132" t="str">
        <x:v>S1;S5;S8 - S9;S10;S11;S12;S13; S1 Firestone; S5 RevCivic</x:v>
      </x:c>
      <x:c r="AP5" s="134" t="str">
        <x:v>Conflicting sources</x:v>
      </x:c>
      <x:c r="AQ5" s="88" t="str">
        <x:v>Unverified performance specifications; catalog candidates only; Disputed evidence restored in battery and vehicle fields.  Scope reconciliation: model_year_range 2017-2020 narrowed to 2019. Broader model-generation/source coverage does not establish every specification across that range.</x:v>
      </x:c>
    </x:row>
    <x:row r="6" ht="52.79999923706055" hidden="0" customHeight="1">
      <x:c r="A6" s="152" t="n">
        <x:v>900001</x:v>
      </x:c>
      <x:c r="B6" s="152" t="n">
        <x:v>910022</x:v>
      </x:c>
      <x:c r="C6" s="147" t="n">
        <x:v>2019</x:v>
      </x:c>
      <x:c r="D6" s="147" t="s">
        <x:v>66</x:v>
      </x:c>
      <x:c r="E6" s="147" t="s">
        <x:v>71</x:v>
      </x:c>
      <x:c r="F6" s="147" t="s">
        <x:v>451</x:v>
      </x:c>
      <x:c r="G6" s="147" t="s">
        <x:v>431</x:v>
      </x:c>
      <x:c r="H6" s="152" t="n">
        <x:v>700112</x:v>
      </x:c>
      <x:c r="I6" s="147" t="n">
        <x:v>2</x:v>
      </x:c>
      <x:c r="J6" s="147" t="n">
        <x:v>4</x:v>
      </x:c>
      <x:c r="K6" s="147" t="s">
        <x:v>452</x:v>
      </x:c>
      <x:c r="L6" s="147" t="s">
        <x:v>444</x:v>
      </x:c>
      <x:c r="M6" s="147" t="s">
        <x:v>434</x:v>
      </x:c>
      <x:c r="N6" s="147" t="str">
        <x:v>2019</x:v>
      </x:c>
      <x:c r="O6" s="147" t="s">
        <x:v>453</x:v>
      </x:c>
      <x:c r="P6" s="147" t="s">
        <x:v>454</x:v>
      </x:c>
      <x:c r="Q6" s="147" t="s">
        <x:v>436</x:v>
      </x:c>
      <x:c r="R6" s="147" t="n">
        <x:v>12</x:v>
      </x:c>
      <x:c r="S6" s="147" t="b">
        <x:f aca="0">FALSE()</x:f>
        <x:v>0</x:v>
      </x:c>
      <x:c r="T6" s="147" t="str">
        <x:f aca="0">"Not publicly verified"</x:f>
        <x:v>Not publicly verified</x:v>
      </x:c>
      <x:c r="U6" s="147" t="str">
        <x:v>47 (H5) or larger - sources conflict (H5/48 vs H6) [unverified]</x:v>
      </x:c>
      <x:c r="V6" s="147" t="str">
        <x:v>Not publicly verified</x:v>
      </x:c>
      <x:c r="W6" s="147" t="str">
        <x:v>Not publicly verified</x:v>
      </x:c>
      <x:c r="X6" s="147" t="n">
        <x:v>12</x:v>
      </x:c>
      <x:c r="Y6" s="147" t="str">
        <x:v>~600-700 CCA (Firestone, performance trim) [retailer/service source]</x:v>
      </x:c>
      <x:c r="Z6" s="148" t="str">
        <x:v>Not publicly verified</x:v>
      </x:c>
      <x:c r="AA6" s="147" t="s">
        <x:v>440</x:v>
      </x:c>
      <x:c r="AB6" s="147" t="s">
        <x:v>440</x:v>
      </x:c>
      <x:c r="AC6" s="147" t="s">
        <x:v>440</x:v>
      </x:c>
      <x:c r="AD6" s="147" t="s">
        <x:v>440</x:v>
      </x:c>
      <x:c r="AE6" s="148" t="s">
        <x:v>201</x:v>
      </x:c>
      <x:c r="AF6" s="147" t="str">
        <x:v>Not publicly verified</x:v>
      </x:c>
      <x:c r="AG6" s="147" t="str">
        <x:v>Not publicly verified</x:v>
      </x:c>
      <x:c r="AH6" s="147" t="s">
        <x:v>166</x:v>
      </x:c>
      <x:c r="AI6" s="148" t="str">
        <x:v>Not publicly verified</x:v>
      </x:c>
      <x:c r="AJ6" s="147" t="str">
        <x:v>Charging strategy and setpoints require exact-year/trim evidence. No standard-trim inheritance.</x:v>
      </x:c>
      <x:c r="AK6" s="147" t="str">
        <x:v>Prior workbook evidence restored: Firestone (S1) was attributed H5/48 and approximately 600–700 CCA for Type R; HondaTheOtherSide (S4) was attributed H5 (47); RevCivic (S5) was attributed H5/H6 performance cases. Preserve the ambiguous H5/48 wording as a source claim, not an equivalence. S28 dealer candidate also has a generic 1.5L description conflict. Historical source attributions are retained from the original workbook, not freshly reverified. Confirm exact VIN/installed label before accepting fitment.</x:v>
      </x:c>
      <x:c r="AL6" s="148" t="s">
        <x:v>201</x:v>
      </x:c>
      <x:c r="AM6" s="147" t="n">
        <x:v>999</x:v>
      </x:c>
      <x:c r="AN6" s="147" t="b">
        <x:f aca="0">TRUE()</x:f>
        <x:v>1</x:v>
      </x:c>
      <x:c r="AO6" s="147" t="str">
        <x:v>S1;S4;S5 - S9;S10;S11;S12;S13; S1 Firestone; S4 HondaTheOtherSide; S5 RevCivic; S28 Honda Automotive Parts</x:v>
      </x:c>
      <x:c r="AP6" s="134" t="str">
        <x:v>Conflicting sources</x:v>
      </x:c>
      <x:c r="AQ6" s="88" t="str">
        <x:v>Unverified performance specifications; catalog candidates only; Disputed evidence restored in battery and vehicle fields.  Scope reconciliation: model_year_range 2017-2021 narrowed to 2019. Broader model-generation/source coverage does not establish every specification across that range.</x:v>
      </x:c>
    </x:row>
    <x:row r="7" ht="132" hidden="0" customHeight="1">
      <x:c r="A7" s="151" t="n">
        <x:v>900007</x:v>
      </x:c>
      <x:c r="B7" s="151" t="n">
        <x:v>910023</x:v>
      </x:c>
      <x:c r="C7" s="132" t="n">
        <x:v>2023</x:v>
      </x:c>
      <x:c r="D7" s="132" t="s">
        <x:v>66</x:v>
      </x:c>
      <x:c r="E7" s="132" t="s">
        <x:v>71</x:v>
      </x:c>
      <x:c r="F7" s="132" t="s">
        <x:v>455</x:v>
      </x:c>
      <x:c r="G7" s="132" t="s">
        <x:v>431</x:v>
      </x:c>
      <x:c r="H7" s="151" t="n">
        <x:v>700121</x:v>
      </x:c>
      <x:c r="I7" s="132" t="n">
        <x:v>2</x:v>
      </x:c>
      <x:c r="J7" s="132" t="n">
        <x:v>4</x:v>
      </x:c>
      <x:c r="K7" s="132" t="s">
        <x:v>432</x:v>
      </x:c>
      <x:c r="L7" s="132" t="s">
        <x:v>433</x:v>
      </x:c>
      <x:c r="M7" s="132" t="s">
        <x:v>434</x:v>
      </x:c>
      <x:c r="N7" s="132" t="str">
        <x:v>2023</x:v>
      </x:c>
      <x:c r="O7" s="132" t="s">
        <x:v>456</x:v>
      </x:c>
      <x:c r="P7" s="132" t="s">
        <x:v>435</x:v>
      </x:c>
      <x:c r="Q7" s="132" t="s">
        <x:v>436</x:v>
      </x:c>
      <x:c r="R7" s="132" t="n">
        <x:v>12</x:v>
      </x:c>
      <x:c r="S7" s="132" t="b">
        <x:f aca="0">FALSE()</x:f>
        <x:v>0</x:v>
      </x:c>
      <x:c r="T7" s="132" t="str">
        <x:v>Not publicly verified</x:v>
      </x:c>
      <x:c r="U7" s="132" t="s">
        <x:v>457</x:v>
      </x:c>
      <x:c r="V7" s="132" t="str">
        <x:v>EFB [OEM] for the cited service product. AGM only if the applicable VIN-specific OEM specification requires it; that requirement is Not publicly verified for these linked configurations.</x:v>
      </x:c>
      <x:c r="W7" s="132" t="s">
        <x:v>438</x:v>
      </x:c>
      <x:c r="X7" s="132" t="n">
        <x:v>12</x:v>
      </x:c>
      <x:c r="Y7" s="132" t="str">
        <x:v>650 CCA [aftermarket] (S7 DieHard H5-EFB product listing); original OEM CCA Not publicly verified</x:v>
      </x:c>
      <x:c r="Z7" s="132" t="str">
        <x:v>110 min [aftermarket] (S7 DieHard H5-EFB product listing); original OEM RC Not publicly verified</x:v>
      </x:c>
      <x:c r="AA7" s="132" t="s">
        <x:v>446</x:v>
      </x:c>
      <x:c r="AB7" s="132" t="s">
        <x:v>440</x:v>
      </x:c>
      <x:c r="AC7" s="132" t="s">
        <x:v>440</x:v>
      </x:c>
      <x:c r="AD7" s="132" t="s">
        <x:v>440</x:v>
      </x:c>
      <x:c r="AE7" s="135" t="s">
        <x:v>201</x:v>
      </x:c>
      <x:c r="AF7" s="132" t="str">
        <x:v>Not publicly verified for this model year and configuration</x:v>
      </x:c>
      <x:c r="AG7" s="132" t="str">
        <x:v>Not publicly verified for this model year and configuration</x:v>
      </x:c>
      <x:c r="AH7" s="132" t="s">
        <x:v>166</x:v>
      </x:c>
      <x:c r="AI7" s="135" t="str">
        <x:v>Not publicly verified</x:v>
      </x:c>
      <x:c r="AJ7" s="132" t="str">
        <x:v>S9 and S12 describe older/general Honda charging systems; S12 explicitly covers 1990–2012. They do not establish the architecture or setpoints for this 2018/2023 configuration. Exact-year service information is required.</x:v>
      </x:c>
      <x:c r="AK7" s="132" t="str">
        <x:v>2023 linked configuration only. H5/47 versus 51R remains unresolved. AGM only if the applicable VIN-specific OEM specification requires it; that requirement is Not publicly verified for these linked configurations. Battery registration/coding also requires exact-configuration service information.</x:v>
      </x:c>
      <x:c r="AL7" s="132" t="s">
        <x:v>458</x:v>
      </x:c>
      <x:c r="AM7" s="132" t="n">
        <x:v>999</x:v>
      </x:c>
      <x:c r="AN7" s="132" t="b">
        <x:f aca="0">TRUE()</x:f>
        <x:v>1</x:v>
      </x:c>
      <x:c r="AO7" s="132" t="s">
        <x:v>459</x:v>
      </x:c>
      <x:c r="AP7" s="134" t="str">
        <x:v>Conflicting sources</x:v>
      </x:c>
      <x:c r="AQ7" s="88" t="str">
        <x:v>Legacy research; not revalidated in this batch;  Scope reconciliation: model_year_range 2022-2025 narrowed to 2023. Broader model-generation/source coverage does not establish every specification across that range. Historical charging claim retained for audit: ~13.5-14.5 at idle; dual-mode (charge ~14.4-14.5 / economy ~12.4-12.9). It is not an accepted setpoint for this row.
Evidence moved from main_fuse_link_rating_a during schema correction: Not publicly verified (owner's-manual fuse chart is authoritative; 9th-gen owners cite a ~100A main fuse)
Source: S18 (9thgencivic.com owner forum), weak historical attribution, no exact thread URL. S19 identifies the required owner-manual fuse chart; no exact-year rating was extracted. The older-generation estimate is not a rating for this selected vehicle.</x:v>
      </x:c>
    </x:row>
    <x:row r="8" ht="132" hidden="0" customHeight="1">
      <x:c r="A8" s="152" t="n">
        <x:v>900007</x:v>
      </x:c>
      <x:c r="B8" s="152" t="n">
        <x:v>910024</x:v>
      </x:c>
      <x:c r="C8" s="147" t="n">
        <x:v>2023</x:v>
      </x:c>
      <x:c r="D8" s="147" t="s">
        <x:v>66</x:v>
      </x:c>
      <x:c r="E8" s="147" t="s">
        <x:v>71</x:v>
      </x:c>
      <x:c r="F8" s="147" t="s">
        <x:v>460</x:v>
      </x:c>
      <x:c r="G8" s="147" t="s">
        <x:v>431</x:v>
      </x:c>
      <x:c r="H8" s="152" t="n">
        <x:v>700122</x:v>
      </x:c>
      <x:c r="I8" s="147" t="n">
        <x:v>1.5</x:v>
      </x:c>
      <x:c r="J8" s="147" t="n">
        <x:v>4</x:v>
      </x:c>
      <x:c r="K8" s="147" t="s">
        <x:v>443</x:v>
      </x:c>
      <x:c r="L8" s="147" t="s">
        <x:v>444</x:v>
      </x:c>
      <x:c r="M8" s="147" t="s">
        <x:v>434</x:v>
      </x:c>
      <x:c r="N8" s="147" t="str">
        <x:v>2023</x:v>
      </x:c>
      <x:c r="O8" s="147" t="s">
        <x:v>456</x:v>
      </x:c>
      <x:c r="P8" s="147" t="s">
        <x:v>445</x:v>
      </x:c>
      <x:c r="Q8" s="147" t="s">
        <x:v>436</x:v>
      </x:c>
      <x:c r="R8" s="147" t="n">
        <x:v>12</x:v>
      </x:c>
      <x:c r="S8" s="147" t="b">
        <x:f aca="0">FALSE()</x:f>
        <x:v>0</x:v>
      </x:c>
      <x:c r="T8" s="147" t="str">
        <x:v>Not publicly verified</x:v>
      </x:c>
      <x:c r="U8" s="147" t="s">
        <x:v>457</x:v>
      </x:c>
      <x:c r="V8" s="147" t="str">
        <x:v>EFB [OEM] for the cited service product. AGM only if the applicable VIN-specific OEM specification requires it; that requirement is Not publicly verified for these linked configurations.</x:v>
      </x:c>
      <x:c r="W8" s="147" t="s">
        <x:v>438</x:v>
      </x:c>
      <x:c r="X8" s="147" t="n">
        <x:v>12</x:v>
      </x:c>
      <x:c r="Y8" s="147" t="str">
        <x:v>650 CCA [aftermarket] (S7 DieHard H5-EFB product listing); original OEM CCA Not publicly verified</x:v>
      </x:c>
      <x:c r="Z8" s="147" t="str">
        <x:v>110 min [aftermarket] (S7 DieHard H5-EFB product listing); original OEM RC Not publicly verified</x:v>
      </x:c>
      <x:c r="AA8" s="147" t="s">
        <x:v>440</x:v>
      </x:c>
      <x:c r="AB8" s="147" t="s">
        <x:v>440</x:v>
      </x:c>
      <x:c r="AC8" s="147" t="s">
        <x:v>440</x:v>
      </x:c>
      <x:c r="AD8" s="147" t="s">
        <x:v>440</x:v>
      </x:c>
      <x:c r="AE8" s="148" t="s">
        <x:v>201</x:v>
      </x:c>
      <x:c r="AF8" s="147" t="str">
        <x:v>Not publicly verified for this model year and configuration</x:v>
      </x:c>
      <x:c r="AG8" s="147" t="str">
        <x:v>Not publicly verified for this model year and configuration</x:v>
      </x:c>
      <x:c r="AH8" s="147" t="s">
        <x:v>166</x:v>
      </x:c>
      <x:c r="AI8" s="148" t="str">
        <x:v>Not publicly verified</x:v>
      </x:c>
      <x:c r="AJ8" s="147" t="str">
        <x:v>S9 and S12 describe older/general Honda charging systems; S12 explicitly covers 1990–2012. They do not establish the architecture or setpoints for this 2018/2023 configuration. Exact-year service information is required.</x:v>
      </x:c>
      <x:c r="AK8" s="147" t="str">
        <x:v>2023 linked configuration only. H5/47 versus 51R remains unresolved. AGM only if the applicable VIN-specific OEM specification requires it; that requirement is Not publicly verified for these linked configurations. Battery registration/coding also requires exact-configuration service information.</x:v>
      </x:c>
      <x:c r="AL8" s="148" t="s">
        <x:v>461</x:v>
      </x:c>
      <x:c r="AM8" s="147" t="n">
        <x:v>999</x:v>
      </x:c>
      <x:c r="AN8" s="147" t="b">
        <x:f aca="0">TRUE()</x:f>
        <x:v>1</x:v>
      </x:c>
      <x:c r="AO8" s="147" t="s">
        <x:v>462</x:v>
      </x:c>
      <x:c r="AP8" s="134" t="str">
        <x:v>Conflicting sources</x:v>
      </x:c>
      <x:c r="AQ8" s="88" t="str">
        <x:v>Legacy research; not revalidated in this batch;  Scope reconciliation: model_year_range 2022-2025 narrowed to 2023. Broader model-generation/source coverage does not establish every specification across that range. Historical charging claim retained for audit: ~13.5-14.5 at idle; dual-mode (charge ~14.4-14.5 / economy ~12.4-12.9). It is not an accepted setpoint for this row.
Evidence moved from main_fuse_link_rating_a during schema correction: Not publicly verified (owner's-manual fuse chart is authoritative; 9th-gen owners cite a ~100A main fuse)
Source: S18 (9thgencivic.com owner forum), weak historical attribution, no exact thread URL. S19 identifies the required owner-manual fuse chart; no exact-year rating was extracted. The older-generation estimate is not a rating for this selected vehicle.</x:v>
      </x:c>
    </x:row>
    <x:row r="9" ht="54" hidden="0" customHeight="1">
      <x:c r="A9" s="151" t="n">
        <x:v>900007</x:v>
      </x:c>
      <x:c r="B9" s="151" t="n">
        <x:v>910025</x:v>
      </x:c>
      <x:c r="C9" s="132" t="n">
        <x:v>2023</x:v>
      </x:c>
      <x:c r="D9" s="132" t="s">
        <x:v>66</x:v>
      </x:c>
      <x:c r="E9" s="132" t="s">
        <x:v>71</x:v>
      </x:c>
      <x:c r="F9" s="132" t="s">
        <x:v>448</x:v>
      </x:c>
      <x:c r="G9" s="132" t="s">
        <x:v>431</x:v>
      </x:c>
      <x:c r="H9" s="151" t="n">
        <x:v>700123</x:v>
      </x:c>
      <x:c r="I9" s="132" t="n">
        <x:v>1.5</x:v>
      </x:c>
      <x:c r="J9" s="132" t="n">
        <x:v>4</x:v>
      </x:c>
      <x:c r="K9" s="132" t="s">
        <x:v>443</x:v>
      </x:c>
      <x:c r="L9" s="132" t="s">
        <x:v>444</x:v>
      </x:c>
      <x:c r="M9" s="132" t="s">
        <x:v>434</x:v>
      </x:c>
      <x:c r="N9" s="132" t="str">
        <x:v>2023</x:v>
      </x:c>
      <x:c r="O9" s="132" t="s">
        <x:v>463</x:v>
      </x:c>
      <x:c r="P9" s="132" t="s">
        <x:v>450</x:v>
      </x:c>
      <x:c r="Q9" s="132" t="s">
        <x:v>436</x:v>
      </x:c>
      <x:c r="R9" s="132" t="n">
        <x:v>12</x:v>
      </x:c>
      <x:c r="S9" s="132" t="b">
        <x:f aca="0">FALSE()</x:f>
        <x:v>0</x:v>
      </x:c>
      <x:c r="T9" s="132" t="str">
        <x:f aca="0">"Not publicly verified"</x:f>
        <x:v>Not publicly verified</x:v>
      </x:c>
      <x:c r="U9" s="132" t="str">
        <x:v>H5 (47) claimed by Optima S6 for all 2022+ Civics; RevCivic S5 discusses H5/H6 and performance exceptions. Exact Si fitment unresolved.</x:v>
      </x:c>
      <x:c r="V9" s="132" t="str">
        <x:v>Not publicly verified</x:v>
      </x:c>
      <x:c r="W9" s="132" t="str">
        <x:v>Not publicly verified</x:v>
      </x:c>
      <x:c r="X9" s="132" t="n">
        <x:v>12</x:v>
      </x:c>
      <x:c r="Y9" s="135" t="str">
        <x:v>Not publicly verified (Si-specific OE CCA not published)</x:v>
      </x:c>
      <x:c r="Z9" s="135" t="str">
        <x:v>Not publicly verified</x:v>
      </x:c>
      <x:c r="AA9" s="132" t="s">
        <x:v>440</x:v>
      </x:c>
      <x:c r="AB9" s="132" t="s">
        <x:v>440</x:v>
      </x:c>
      <x:c r="AC9" s="132" t="s">
        <x:v>440</x:v>
      </x:c>
      <x:c r="AD9" s="132" t="s">
        <x:v>440</x:v>
      </x:c>
      <x:c r="AE9" s="135" t="s">
        <x:v>201</x:v>
      </x:c>
      <x:c r="AF9" s="132" t="str">
        <x:v>Not publicly verified</x:v>
      </x:c>
      <x:c r="AG9" s="132" t="str">
        <x:v>Not publicly verified</x:v>
      </x:c>
      <x:c r="AH9" s="132" t="s">
        <x:v>166</x:v>
      </x:c>
      <x:c r="AI9" s="135" t="str">
        <x:v>Not publicly verified</x:v>
      </x:c>
      <x:c r="AJ9" s="132" t="str">
        <x:v>Charging strategy and setpoints require exact-year/trim evidence. No standard-trim inheritance.</x:v>
      </x:c>
      <x:c r="AK9" s="132" t="str">
        <x:v>Prior workbook H5 finding restored: Optima (S6) broadly claims all Civics use H5 from 2022. RevCivic (S5) describes H5/H6 and larger performance cases. These are broad, differently scoped claims, not two verified 2023 Si applications. S27 dealer lists 31500-TLA-EFB100M without group/CCA specifications. Historical source attributions are retained from the original workbook, not freshly reverified. Confirm exact VIN/installed label before accepting fitment.</x:v>
      </x:c>
      <x:c r="AL9" s="135" t="s">
        <x:v>201</x:v>
      </x:c>
      <x:c r="AM9" s="132" t="n">
        <x:v>999</x:v>
      </x:c>
      <x:c r="AN9" s="132" t="b">
        <x:f aca="0">TRUE()</x:f>
        <x:v>1</x:v>
      </x:c>
      <x:c r="AO9" s="132" t="str">
        <x:v>S6;S5 - S9;S10;S11;S12;S13; S6 Optima; S5 RevCivic; S27 Honda Automotive Parts</x:v>
      </x:c>
      <x:c r="AP9" s="134" t="str">
        <x:v>Conflicting sources</x:v>
      </x:c>
      <x:c r="AQ9" s="88" t="str">
        <x:v>Unverified performance specifications; catalog candidates only; Disputed evidence restored in battery and vehicle fields.  Scope reconciliation: model_year_range 2022-2025 narrowed to 2023. Broader model-generation/source coverage does not establish every specification across that range.</x:v>
      </x:c>
    </x:row>
    <x:row r="10" ht="52.79999923706055" hidden="0" customHeight="1">
      <x:c r="A10" s="152" t="n">
        <x:v>900007</x:v>
      </x:c>
      <x:c r="B10" s="152" t="n">
        <x:v>910026</x:v>
      </x:c>
      <x:c r="C10" s="147" t="n">
        <x:v>2024</x:v>
      </x:c>
      <x:c r="D10" s="147" t="s">
        <x:v>66</x:v>
      </x:c>
      <x:c r="E10" s="147" t="s">
        <x:v>71</x:v>
      </x:c>
      <x:c r="F10" s="147" t="s">
        <x:v>451</x:v>
      </x:c>
      <x:c r="G10" s="147" t="s">
        <x:v>431</x:v>
      </x:c>
      <x:c r="H10" s="152" t="n">
        <x:v>700124</x:v>
      </x:c>
      <x:c r="I10" s="147" t="n">
        <x:v>2</x:v>
      </x:c>
      <x:c r="J10" s="147" t="n">
        <x:v>4</x:v>
      </x:c>
      <x:c r="K10" s="147" t="s">
        <x:v>452</x:v>
      </x:c>
      <x:c r="L10" s="147" t="s">
        <x:v>444</x:v>
      </x:c>
      <x:c r="M10" s="147" t="s">
        <x:v>434</x:v>
      </x:c>
      <x:c r="N10" s="147" t="str">
        <x:v>2024</x:v>
      </x:c>
      <x:c r="O10" s="147" t="s">
        <x:v>464</x:v>
      </x:c>
      <x:c r="P10" s="147" t="s">
        <x:v>454</x:v>
      </x:c>
      <x:c r="Q10" s="147" t="s">
        <x:v>436</x:v>
      </x:c>
      <x:c r="R10" s="147" t="n">
        <x:v>12</x:v>
      </x:c>
      <x:c r="S10" s="147" t="b">
        <x:f aca="0">FALSE()</x:f>
        <x:v>0</x:v>
      </x:c>
      <x:c r="T10" s="147" t="str">
        <x:f aca="0">"Not publicly verified"</x:f>
        <x:v>Not publicly verified</x:v>
      </x:c>
      <x:c r="U10" s="147" t="str">
        <x:v>H5/H6 (higher CCA) - not consistently published [unverified]</x:v>
      </x:c>
      <x:c r="V10" s="147" t="str">
        <x:v>Not publicly verified</x:v>
      </x:c>
      <x:c r="W10" s="147" t="str">
        <x:v>Not publicly verified</x:v>
      </x:c>
      <x:c r="X10" s="147" t="n">
        <x:v>12</x:v>
      </x:c>
      <x:c r="Y10" s="148" t="str">
        <x:v>Not publicly verified</x:v>
      </x:c>
      <x:c r="Z10" s="148" t="str">
        <x:v>Not publicly verified</x:v>
      </x:c>
      <x:c r="AA10" s="147" t="s">
        <x:v>440</x:v>
      </x:c>
      <x:c r="AB10" s="147" t="s">
        <x:v>440</x:v>
      </x:c>
      <x:c r="AC10" s="147" t="s">
        <x:v>440</x:v>
      </x:c>
      <x:c r="AD10" s="147" t="s">
        <x:v>440</x:v>
      </x:c>
      <x:c r="AE10" s="148" t="s">
        <x:v>201</x:v>
      </x:c>
      <x:c r="AF10" s="147" t="str">
        <x:v>Not publicly verified</x:v>
      </x:c>
      <x:c r="AG10" s="147" t="str">
        <x:v>Not publicly verified</x:v>
      </x:c>
      <x:c r="AH10" s="147" t="s">
        <x:v>166</x:v>
      </x:c>
      <x:c r="AI10" s="148" t="str">
        <x:v>Not publicly verified</x:v>
      </x:c>
      <x:c r="AJ10" s="147" t="str">
        <x:v>Charging strategy and setpoints require exact-year/trim evidence. No standard-trim inheritance.</x:v>
      </x:c>
      <x:c r="AK10" s="147" t="str">
        <x:v>Prior workbook H5/H6 higher-CCA claim from RevCivic (S5) restored. Optima (S6) broadly claims H5 for all 2022+ Civics. Broad-source tension remains; neither establishes exact 2024 FL5 group or CCA. No standard-trim inheritance. Historical source attributions are retained from the original workbook, not freshly reverified. Confirm exact VIN/installed label before accepting fitment.</x:v>
      </x:c>
      <x:c r="AL10" s="148" t="s">
        <x:v>201</x:v>
      </x:c>
      <x:c r="AM10" s="147" t="n">
        <x:v>999</x:v>
      </x:c>
      <x:c r="AN10" s="147" t="b">
        <x:f aca="0">TRUE()</x:f>
        <x:v>1</x:v>
      </x:c>
      <x:c r="AO10" s="147" t="str">
        <x:v>S5 - S9;S10;S11;S12;S13; S5 RevCivic; S6 Optima</x:v>
      </x:c>
      <x:c r="AP10" s="136" t="str">
        <x:v>Conflicting sources</x:v>
      </x:c>
      <x:c r="AQ10" s="88" t="str">
        <x:v>Unverified performance specifications; catalog candidates only; Disputed evidence restored in battery and vehicle fields.  Scope reconciliation: model_year_range 2023-2025 narrowed to 2024. Broader model-generation/source coverage does not establish every specification across that range.</x:v>
      </x:c>
    </x:row>
    <x:row r="11" ht="132" hidden="0" customHeight="1">
      <x:c r="A11" s="151" t="n">
        <x:v>900008</x:v>
      </x:c>
      <x:c r="B11" s="151" t="n">
        <x:v>910027</x:v>
      </x:c>
      <x:c r="C11" s="132" t="n">
        <x:v>2025</x:v>
      </x:c>
      <x:c r="D11" s="132" t="s">
        <x:v>66</x:v>
      </x:c>
      <x:c r="E11" s="132" t="s">
        <x:v>71</x:v>
      </x:c>
      <x:c r="F11" s="132" t="s">
        <x:v>465</x:v>
      </x:c>
      <x:c r="G11" s="132" t="s">
        <x:v>431</x:v>
      </x:c>
      <x:c r="H11" s="151" t="n">
        <x:v>700131</x:v>
      </x:c>
      <x:c r="I11" s="132" t="n">
        <x:v>2</x:v>
      </x:c>
      <x:c r="J11" s="132" t="n">
        <x:v>4</x:v>
      </x:c>
      <x:c r="K11" s="132" t="s">
        <x:v>466</x:v>
      </x:c>
      <x:c r="L11" s="132" t="s">
        <x:v>433</x:v>
      </x:c>
      <x:c r="M11" s="132" t="s">
        <x:v>434</x:v>
      </x:c>
      <x:c r="N11" s="132" t="str">
        <x:v>2025</x:v>
      </x:c>
      <x:c r="O11" s="132" t="s">
        <x:v>467</x:v>
      </x:c>
      <x:c r="P11" s="132" t="s">
        <x:v>468</x:v>
      </x:c>
      <x:c r="Q11" s="132" t="s">
        <x:v>469</x:v>
      </x:c>
      <x:c r="R11" s="132" t="n">
        <x:v>12</x:v>
      </x:c>
      <x:c r="S11" s="149" t="b">
        <x:f aca="0">TRUE()</x:f>
        <x:v>1</x:v>
      </x:c>
      <x:c r="T11" s="132" t="b">
        <x:f aca="0">FALSE()</x:f>
        <x:v>0</x:v>
      </x:c>
      <x:c r="U11" s="132" t="str">
        <x:v>Not publicly verified</x:v>
      </x:c>
      <x:c r="V11" s="132" t="s">
        <x:v>470</x:v>
      </x:c>
      <x:c r="W11" s="132" t="str">
        <x:v>Not publicly verified</x:v>
      </x:c>
      <x:c r="X11" s="132" t="n">
        <x:v>12</x:v>
      </x:c>
      <x:c r="Y11" s="135" t="s">
        <x:v>201</x:v>
      </x:c>
      <x:c r="Z11" s="135" t="s">
        <x:v>201</x:v>
      </x:c>
      <x:c r="AA11" s="132" t="s">
        <x:v>471</x:v>
      </x:c>
      <x:c r="AB11" s="132" t="s">
        <x:v>186</x:v>
      </x:c>
      <x:c r="AC11" s="149" t="n">
        <x:v>262</x:v>
      </x:c>
      <x:c r="AD11" s="149" t="n">
        <x:v>1.06</x:v>
      </x:c>
      <x:c r="AE11" s="132" t="s">
        <x:v>472</x:v>
      </x:c>
      <x:c r="AF11" s="132" t="s">
        <x:v>473</x:v>
      </x:c>
      <x:c r="AG11" s="132" t="s">
        <x:v>474</x:v>
      </x:c>
      <x:c r="AH11" s="132" t="s">
        <x:v>475</x:v>
      </x:c>
      <x:c r="AI11" s="135" t="str">
        <x:v>Not publicly verified</x:v>
      </x:c>
      <x:c r="AJ11" s="132" t="s">
        <x:v>476</x:v>
      </x:c>
      <x:c r="AK11" s="149" t="s">
        <x:v>477</x:v>
      </x:c>
      <x:c r="AL11" s="132" t="s">
        <x:v>478</x:v>
      </x:c>
      <x:c r="AM11" s="132" t="n">
        <x:v>999</x:v>
      </x:c>
      <x:c r="AN11" s="132" t="b">
        <x:f aca="0">TRUE()</x:f>
        <x:v>1</x:v>
      </x:c>
      <x:c r="AO11" s="132" t="str">
        <x:v>S15;S16;S17 (legacy HV/product attributions; no URL on record); S20 (Canadian ERG Version 1, 2025); S30 (American ERG Version 2, 2025–26). S20 and S30 are distinct documents.</x:v>
      </x:c>
      <x:c r="AP11" s="136" t="str">
        <x:v>Partially verified</x:v>
      </x:c>
      <x:c r="AQ11" s="88" t="str">
        <x:v>Legacy research; not revalidated in this batch;  ERG citations are version-specific: S20 Canadian V1 (2025), S30 US V2 (2025–26). Neutral-shift claims differ; see B-CIV-007 AU. No procedure is generalized between versions. Scope reconciliation: model_year_range 2025-2026 narrowed to 2025. Broader model-generation/source coverage does not establish every specification across that range.
Evidence moved from main_fuse_link_rating_a during schema correction: Not publicly verified (owner's-manual fuse chart is authoritative; 9th-gen owners cite a ~100A main fuse)
Source: S18 (9thgencivic.com owner forum), weak historical attribution, no exact thread URL. S19 identifies the required owner-manual fuse chart; no exact-year rating was extracted. The older-generation estimate is not a rating for this selected vehicle.</x:v>
      </x:c>
    </x:row>
    <x:row r="12" ht="43.20000076293945" hidden="0" customHeight="1">
      <x:c r="A12" s="152" t="n">
        <x:v>900002</x:v>
      </x:c>
      <x:c r="B12" s="152" t="n">
        <x:v>910002</x:v>
      </x:c>
      <x:c r="C12" s="147" t="n">
        <x:v>2019</x:v>
      </x:c>
      <x:c r="D12" s="147" t="s">
        <x:v>479</x:v>
      </x:c>
      <x:c r="E12" s="147" t="s">
        <x:v>480</x:v>
      </x:c>
      <x:c r="F12" s="147" t="s">
        <x:v>481</x:v>
      </x:c>
      <x:c r="G12" s="147" t="s">
        <x:v>431</x:v>
      </x:c>
      <x:c r="H12" s="152" t="n">
        <x:v>700201</x:v>
      </x:c>
      <x:c r="I12" s="147" t="n">
        <x:v>2.5</x:v>
      </x:c>
      <x:c r="J12" s="147" t="n">
        <x:v>4</x:v>
      </x:c>
      <x:c r="K12" s="147" t="s">
        <x:v>482</x:v>
      </x:c>
      <x:c r="L12" s="147" t="s">
        <x:v>433</x:v>
      </x:c>
      <x:c r="M12" s="147" t="s">
        <x:v>434</x:v>
      </x:c>
      <x:c r="N12" s="121" t="str">
        <x:v>2019</x:v>
      </x:c>
      <x:c r="O12" s="121" t="str">
        <x:v>Not publicly verified</x:v>
      </x:c>
      <x:c r="P12" s="121" t="str">
        <x:v>Gasoline, non-hybrid [OEM] S22</x:v>
      </x:c>
      <x:c r="Q12" s="121" t="str">
        <x:v>12 V low-voltage system [OEM] S22 p.529</x:v>
      </x:c>
      <x:c r="R12" s="121" t="n">
        <x:v>12</x:v>
      </x:c>
      <x:c r="S12" s="121" t="b">
        <x:f aca="0">FALSE()</x:f>
        <x:v>0</x:v>
      </x:c>
      <x:c r="T12" s="121" t="str">
        <x:f aca="0">"Not publicly verified"</x:f>
        <x:v>Not publicly verified</x:v>
      </x:c>
      <x:c r="U12" s="121" t="str">
        <x:v>H6 / LN3 service application [OEM] S21 p.1</x:v>
      </x:c>
      <x:c r="V12" s="121" t="str">
        <x:v>Not publicly verified</x:v>
      </x:c>
      <x:c r="W12" s="121" t="str">
        <x:v>Not publicly verified</x:v>
      </x:c>
      <x:c r="X12" s="121" t="n">
        <x:v>12</x:v>
      </x:c>
      <x:c r="Y12" s="121" t="str">
        <x:v>Factory original: Not publicly verified. Service part: see B-CAM-001.</x:v>
      </x:c>
      <x:c r="Z12" s="121" t="str">
        <x:v>Factory original: Not publicly verified. Service part: see B-CAM-001.</x:v>
      </x:c>
      <x:c r="AA12" s="121" t="str">
        <x:v>No separate auxiliary application identified in this non-hybrid manual [OEM] S22</x:v>
      </x:c>
      <x:c r="AB12" s="121" t="str">
        <x:v>N/A - non-hybrid [OEM] S22</x:v>
      </x:c>
      <x:c r="AC12" s="121" t="str">
        <x:v>N/A - non-hybrid [OEM] S22</x:v>
      </x:c>
      <x:c r="AD12" s="121" t="str">
        <x:v>N/A - non-hybrid [OEM] S22</x:v>
      </x:c>
      <x:c r="AE12" s="121" t="str">
        <x:v>Not publicly verified</x:v>
      </x:c>
      <x:c r="AF12" s="121" t="str">
        <x:v>Not publicly verified</x:v>
      </x:c>
      <x:c r="AG12" s="121" t="str">
        <x:v>Not publicly verified</x:v>
      </x:c>
      <x:c r="AH12" s="121" t="str">
        <x:v>Not publicly verified</x:v>
      </x:c>
      <x:c r="AI12" s="121" t="str">
        <x:v>Not publicly verified</x:v>
      </x:c>
      <x:c r="AJ12" s="121" t="str">
        <x:v>External charging: see B-CAM-001. The manual battery test voltage is not an alternator output specification.</x:v>
      </x:c>
      <x:c r="AK12" s="121" t="str">
        <x:v>2019 LE 2.5L non-hybrid only. H6 supported by S21. Terminal layout, retention and installed battery still require checks. Sample VCdb IDs cannot establish fitment.</x:v>
      </x:c>
      <x:c r="AL12" s="121" t="str">
        <x:v>Not publicly verified</x:v>
      </x:c>
      <x:c r="AM12" s="121" t="n">
        <x:v>999</x:v>
      </x:c>
      <x:c r="AN12" s="121" t="b">
        <x:f aca="0">TRUE()</x:f>
        <x:v>1</x:v>
      </x:c>
      <x:c r="AO12" s="121" t="str">
        <x:v>S21;S22;S23. R/X voltage and S non-hybrid flag: [OEM] S22. All other values carry field-level source tags.</x:v>
      </x:c>
      <x:c r="AP12" s="122" t="str">
        <x:v>Partially verified</x:v>
      </x:c>
      <x:c r="AQ12" s="88" t="str">
        <x:v>Partial OEM research; synthetic identity; fitment not approved;  Scope reconciliation: model_year_range 2019 only narrowed to 2019. Broader model-generation/source coverage does not establish every specification across that range.</x:v>
      </x:c>
    </x:row>
    <x:row r="13" ht="21.600000381469727" hidden="0" customHeight="1">
      <x:c r="A13" s="25" t="n">
        <x:v>900003</x:v>
      </x:c>
      <x:c r="B13" s="25" t="n">
        <x:v>910003</x:v>
      </x:c>
      <x:c r="C13" s="18" t="n">
        <x:v>2020</x:v>
      </x:c>
      <x:c r="D13" s="18" t="s">
        <x:v>483</x:v>
      </x:c>
      <x:c r="E13" s="18" t="s">
        <x:v>484</x:v>
      </x:c>
      <x:c r="F13" s="18" t="s">
        <x:v>485</x:v>
      </x:c>
      <x:c r="G13" s="18" t="s">
        <x:v>431</x:v>
      </x:c>
      <x:c r="H13" s="25" t="n">
        <x:v>700301</x:v>
      </x:c>
      <x:c r="I13" s="18" t="n">
        <x:v>5</x:v>
      </x:c>
      <x:c r="J13" s="18" t="n">
        <x:v>8</x:v>
      </x:c>
      <x:c r="K13" s="18" t="s">
        <x:v>486</x:v>
      </x:c>
      <x:c r="L13" s="18" t="s">
        <x:v>433</x:v>
      </x:c>
      <x:c r="M13" s="18" t="s">
        <x:v>487</x:v>
      </x:c>
      <x:c r="N13" s="135" t="s">
        <x:v>488</x:v>
      </x:c>
      <x:c r="O13" s="135" t="s">
        <x:v>488</x:v>
      </x:c>
      <x:c r="P13" s="135" t="s">
        <x:v>488</x:v>
      </x:c>
      <x:c r="Q13" s="135" t="s">
        <x:v>488</x:v>
      </x:c>
      <x:c r="R13" s="132" t="n">
        <x:v>12</x:v>
      </x:c>
      <x:c r="S13" s="132" t="b">
        <x:f aca="0">FALSE()</x:f>
        <x:v>0</x:v>
      </x:c>
      <x:c r="T13" s="132" t="b">
        <x:f aca="0">FALSE()</x:f>
        <x:v>0</x:v>
      </x:c>
      <x:c r="U13" s="135" t="s">
        <x:v>488</x:v>
      </x:c>
      <x:c r="V13" s="135" t="s">
        <x:v>488</x:v>
      </x:c>
      <x:c r="W13" s="135" t="s">
        <x:v>488</x:v>
      </x:c>
      <x:c r="X13" s="132" t="n">
        <x:v>12</x:v>
      </x:c>
      <x:c r="Y13" s="135" t="s">
        <x:v>488</x:v>
      </x:c>
      <x:c r="Z13" s="135" t="s">
        <x:v>488</x:v>
      </x:c>
      <x:c r="AA13" s="135" t="s">
        <x:v>488</x:v>
      </x:c>
      <x:c r="AB13" s="132" t="s">
        <x:v>440</x:v>
      </x:c>
      <x:c r="AC13" s="132" t="s">
        <x:v>440</x:v>
      </x:c>
      <x:c r="AD13" s="132" t="s">
        <x:v>440</x:v>
      </x:c>
      <x:c r="AE13" s="135" t="s">
        <x:v>488</x:v>
      </x:c>
      <x:c r="AF13" s="135" t="s">
        <x:v>488</x:v>
      </x:c>
      <x:c r="AG13" s="135" t="s">
        <x:v>488</x:v>
      </x:c>
      <x:c r="AH13" s="135" t="s">
        <x:v>488</x:v>
      </x:c>
      <x:c r="AI13" s="135" t="s">
        <x:v>488</x:v>
      </x:c>
      <x:c r="AJ13" s="135" t="s">
        <x:v>489</x:v>
      </x:c>
      <x:c r="AK13" s="132" t="s">
        <x:v>490</x:v>
      </x:c>
      <x:c r="AL13" s="135" t="s">
        <x:v>488</x:v>
      </x:c>
      <x:c r="AM13" s="132" t="n">
        <x:v>999</x:v>
      </x:c>
      <x:c r="AN13" s="132" t="b">
        <x:f aca="0">TRUE()</x:f>
        <x:v>1</x:v>
      </x:c>
      <x:c r="AO13" s="132" t="s">
        <x:v>491</x:v>
      </x:c>
      <x:c r="AP13" s="139" t="str">
        <x:v>Pending</x:v>
      </x:c>
      <x:c r="AQ13" s="88" t="str">
        <x:v>Pending (Civic-first; not yet researched); </x:v>
      </x:c>
    </x:row>
    <x:row r="14" ht="15" hidden="0" customHeight="1">
      <x:c r="A14" s="29" t="n">
        <x:v>900003</x:v>
      </x:c>
      <x:c r="B14" s="29" t="n">
        <x:v>910013</x:v>
      </x:c>
      <x:c r="C14" s="17" t="n">
        <x:v>2020</x:v>
      </x:c>
      <x:c r="D14" s="17" t="s">
        <x:v>483</x:v>
      </x:c>
      <x:c r="E14" s="17" t="s">
        <x:v>484</x:v>
      </x:c>
      <x:c r="F14" s="17" t="s">
        <x:v>485</x:v>
      </x:c>
      <x:c r="G14" s="17" t="s">
        <x:v>431</x:v>
      </x:c>
      <x:c r="H14" s="29" t="n">
        <x:v>700302</x:v>
      </x:c>
      <x:c r="I14" s="17" t="n">
        <x:v>3.5</x:v>
      </x:c>
      <x:c r="J14" s="17" t="n">
        <x:v>6</x:v>
      </x:c>
      <x:c r="K14" s="17" t="s">
        <x:v>492</x:v>
      </x:c>
      <x:c r="L14" s="17" t="s">
        <x:v>493</x:v>
      </x:c>
      <x:c r="M14" s="17" t="s">
        <x:v>487</x:v>
      </x:c>
      <x:c r="N14" s="148" t="s">
        <x:v>488</x:v>
      </x:c>
      <x:c r="O14" s="148" t="s">
        <x:v>488</x:v>
      </x:c>
      <x:c r="P14" s="148" t="s">
        <x:v>488</x:v>
      </x:c>
      <x:c r="Q14" s="148" t="s">
        <x:v>488</x:v>
      </x:c>
      <x:c r="R14" s="147" t="n">
        <x:v>12</x:v>
      </x:c>
      <x:c r="S14" s="147" t="b">
        <x:f aca="0">FALSE()</x:f>
        <x:v>0</x:v>
      </x:c>
      <x:c r="T14" s="147" t="b">
        <x:f aca="0">FALSE()</x:f>
        <x:v>0</x:v>
      </x:c>
      <x:c r="U14" s="148" t="s">
        <x:v>488</x:v>
      </x:c>
      <x:c r="V14" s="148" t="s">
        <x:v>488</x:v>
      </x:c>
      <x:c r="W14" s="148" t="s">
        <x:v>488</x:v>
      </x:c>
      <x:c r="X14" s="147" t="n">
        <x:v>12</x:v>
      </x:c>
      <x:c r="Y14" s="148" t="s">
        <x:v>488</x:v>
      </x:c>
      <x:c r="Z14" s="148" t="s">
        <x:v>488</x:v>
      </x:c>
      <x:c r="AA14" s="148" t="s">
        <x:v>488</x:v>
      </x:c>
      <x:c r="AB14" s="147" t="s">
        <x:v>440</x:v>
      </x:c>
      <x:c r="AC14" s="147" t="s">
        <x:v>440</x:v>
      </x:c>
      <x:c r="AD14" s="147" t="s">
        <x:v>440</x:v>
      </x:c>
      <x:c r="AE14" s="148" t="s">
        <x:v>488</x:v>
      </x:c>
      <x:c r="AF14" s="148" t="s">
        <x:v>488</x:v>
      </x:c>
      <x:c r="AG14" s="148" t="s">
        <x:v>488</x:v>
      </x:c>
      <x:c r="AH14" s="148" t="s">
        <x:v>488</x:v>
      </x:c>
      <x:c r="AI14" s="148" t="s">
        <x:v>488</x:v>
      </x:c>
      <x:c r="AJ14" s="148" t="s">
        <x:v>489</x:v>
      </x:c>
      <x:c r="AK14" s="147" t="s">
        <x:v>490</x:v>
      </x:c>
      <x:c r="AL14" s="148" t="s">
        <x:v>488</x:v>
      </x:c>
      <x:c r="AM14" s="147" t="n">
        <x:v>999</x:v>
      </x:c>
      <x:c r="AN14" s="147" t="b">
        <x:f aca="0">TRUE()</x:f>
        <x:v>1</x:v>
      </x:c>
      <x:c r="AO14" s="147" t="s">
        <x:v>491</x:v>
      </x:c>
      <x:c r="AP14" s="139" t="str">
        <x:v>Pending</x:v>
      </x:c>
      <x:c r="AQ14" s="88" t="str">
        <x:v>Pending (Civic-first; not yet researched); </x:v>
      </x:c>
    </x:row>
    <x:row r="15" ht="39.599998474121094" hidden="0" customHeight="1">
      <x:c r="A15" s="151" t="n">
        <x:v>900004</x:v>
      </x:c>
      <x:c r="B15" s="151" t="n">
        <x:v>910004</x:v>
      </x:c>
      <x:c r="C15" s="132" t="n">
        <x:v>2019</x:v>
      </x:c>
      <x:c r="D15" s="132" t="s">
        <x:v>479</x:v>
      </x:c>
      <x:c r="E15" s="132" t="s">
        <x:v>494</x:v>
      </x:c>
      <x:c r="F15" s="132" t="s">
        <x:v>495</x:v>
      </x:c>
      <x:c r="G15" s="132" t="s">
        <x:v>431</x:v>
      </x:c>
      <x:c r="H15" s="151" t="n">
        <x:v>700401</x:v>
      </x:c>
      <x:c r="I15" s="132" t="n">
        <x:v>2.5</x:v>
      </x:c>
      <x:c r="J15" s="132" t="n">
        <x:v>4</x:v>
      </x:c>
      <x:c r="K15" s="132" t="s">
        <x:v>496</x:v>
      </x:c>
      <x:c r="L15" s="132" t="s">
        <x:v>433</x:v>
      </x:c>
      <x:c r="M15" s="132" t="s">
        <x:v>497</x:v>
      </x:c>
      <x:c r="N15" s="113" t="str">
        <x:v>2019</x:v>
      </x:c>
      <x:c r="O15" s="113" t="str">
        <x:v>Not publicly verified</x:v>
      </x:c>
      <x:c r="P15" s="113" t="str">
        <x:v>Gasoline-electric hybrid [OEM] S29</x:v>
      </x:c>
      <x:c r="Q15" s="113" t="str">
        <x:v>12 V auxiliary plus HV traction [OEM] S29</x:v>
      </x:c>
      <x:c r="R15" s="113" t="n">
        <x:v>12</x:v>
      </x:c>
      <x:c r="S15" s="113" t="b">
        <x:f aca="0">TRUE()</x:f>
        <x:v>1</x:v>
      </x:c>
      <x:c r="T15" s="113" t="str">
        <x:f aca="0">"Not publicly verified"</x:f>
        <x:v>Not publicly verified</x:v>
      </x:c>
      <x:c r="U15" s="113" t="str">
        <x:v>LN1 or LN2; identify Type A/B/C [OEM] S29 p.662</x:v>
      </x:c>
      <x:c r="V15" s="113" t="str">
        <x:v>Vented calcium battery [OEM] S29 p.662</x:v>
      </x:c>
      <x:c r="W15" s="113" t="str">
        <x:v>Not publicly verified</x:v>
      </x:c>
      <x:c r="X15" s="113" t="n">
        <x:v>12</x:v>
      </x:c>
      <x:c r="Y15" s="113" t="str">
        <x:v>Type A &gt;=285; B &gt;=286; C &gt;=345 A [OEM] S29 p.662</x:v>
      </x:c>
      <x:c r="Z15" s="113" t="str">
        <x:v>Not publicly verified</x:v>
      </x:c>
      <x:c r="AA15" s="113" t="str">
        <x:v>12 V auxiliary [OEM] S29 pp.662,674</x:v>
      </x:c>
      <x:c r="AB15" s="113" t="str">
        <x:v>Nickel-metal hydride [OEM] S29 p.672</x:v>
      </x:c>
      <x:c r="AC15" s="113" t="n">
        <x:v>244.8</x:v>
      </x:c>
      <x:c r="AD15" s="113" t="str">
        <x:v>Not publicly verified</x:v>
      </x:c>
      <x:c r="AE15" s="113" t="str">
        <x:v>Not publicly verified</x:v>
      </x:c>
      <x:c r="AF15" s="113" t="str">
        <x:v>12 V battery recharges while hybrid operates [OEM] S29 p.661; converter output setpoint Not publicly verified</x:v>
      </x:c>
      <x:c r="AG15" s="113" t="str">
        <x:v>Not publicly verified</x:v>
      </x:c>
      <x:c r="AH15" s="113" t="str">
        <x:v>Not publicly verified</x:v>
      </x:c>
      <x:c r="AI15" s="113" t="str">
        <x:v>Not publicly verified</x:v>
      </x:c>
      <x:c r="AJ15" s="113" t="str">
        <x:v>Battery case, capacity, vent hose and handle must satisfy S29 p.662. Charging limits: S29 p.674.</x:v>
      </x:c>
      <x:c r="AK15" s="113" t="str">
        <x:v>Auxiliary type A/B/C remains unresolved by LE trim alone. Traction pack documented in B-RAV-HV-001. HV consumer categories remain suppressed.</x:v>
      </x:c>
      <x:c r="AL15" s="113" t="str">
        <x:v>Not publicly verified</x:v>
      </x:c>
      <x:c r="AM15" s="113" t="n">
        <x:v>999</x:v>
      </x:c>
      <x:c r="AN15" s="113" t="b">
        <x:f aca="0">TRUE()</x:f>
        <x:v>1</x:v>
      </x:c>
      <x:c r="AO15" s="113" t="str">
        <x:v>S21;S24;S25;S29. Existing sample identity and flags are not a licensed VCdb record.</x:v>
      </x:c>
      <x:c r="AP15" s="122" t="str">
        <x:v>Partially verified</x:v>
      </x:c>
      <x:c r="AQ15" s="88" t="str">
        <x:v>Conditional auxiliary-battery research; type unresolved; not approved;  Scope reconciliation: model_year_range 2019 only narrowed to 2019. Broader model-generation/source coverage does not establish every specification across that range.</x:v>
      </x:c>
    </x:row>
    <x:row r="16" ht="21.600000381469727" hidden="0" customHeight="1">
      <x:c r="A16" s="29" t="n">
        <x:v>900005</x:v>
      </x:c>
      <x:c r="B16" s="29" t="n">
        <x:v>910005</x:v>
      </x:c>
      <x:c r="C16" s="17" t="n">
        <x:v>2019</x:v>
      </x:c>
      <x:c r="D16" s="17" t="s">
        <x:v>498</x:v>
      </x:c>
      <x:c r="E16" s="17" t="s">
        <x:v>499</x:v>
      </x:c>
      <x:c r="F16" s="17" t="s">
        <x:v>500</x:v>
      </x:c>
      <x:c r="G16" s="17" t="s">
        <x:v>431</x:v>
      </x:c>
      <x:c r="H16" s="29" t="n">
        <x:v>700501</x:v>
      </x:c>
      <x:c r="I16" s="17" t="n">
        <x:v>5.3</x:v>
      </x:c>
      <x:c r="J16" s="17" t="n">
        <x:v>8</x:v>
      </x:c>
      <x:c r="K16" s="17" t="s">
        <x:v>501</x:v>
      </x:c>
      <x:c r="L16" s="17" t="s">
        <x:v>433</x:v>
      </x:c>
      <x:c r="M16" s="17" t="s">
        <x:v>487</x:v>
      </x:c>
      <x:c r="N16" s="148" t="s">
        <x:v>488</x:v>
      </x:c>
      <x:c r="O16" s="148" t="s">
        <x:v>488</x:v>
      </x:c>
      <x:c r="P16" s="148" t="s">
        <x:v>488</x:v>
      </x:c>
      <x:c r="Q16" s="148" t="s">
        <x:v>488</x:v>
      </x:c>
      <x:c r="R16" s="147" t="n">
        <x:v>12</x:v>
      </x:c>
      <x:c r="S16" s="147" t="b">
        <x:f aca="0">FALSE()</x:f>
        <x:v>0</x:v>
      </x:c>
      <x:c r="T16" s="147" t="b">
        <x:f aca="0">TRUE()</x:f>
        <x:v>1</x:v>
      </x:c>
      <x:c r="U16" s="148" t="s">
        <x:v>488</x:v>
      </x:c>
      <x:c r="V16" s="148" t="s">
        <x:v>488</x:v>
      </x:c>
      <x:c r="W16" s="148" t="s">
        <x:v>488</x:v>
      </x:c>
      <x:c r="X16" s="147" t="n">
        <x:v>12</x:v>
      </x:c>
      <x:c r="Y16" s="148" t="s">
        <x:v>488</x:v>
      </x:c>
      <x:c r="Z16" s="148" t="s">
        <x:v>488</x:v>
      </x:c>
      <x:c r="AA16" s="148" t="s">
        <x:v>488</x:v>
      </x:c>
      <x:c r="AB16" s="147" t="s">
        <x:v>440</x:v>
      </x:c>
      <x:c r="AC16" s="147" t="s">
        <x:v>440</x:v>
      </x:c>
      <x:c r="AD16" s="147" t="s">
        <x:v>440</x:v>
      </x:c>
      <x:c r="AE16" s="148" t="s">
        <x:v>488</x:v>
      </x:c>
      <x:c r="AF16" s="148" t="s">
        <x:v>488</x:v>
      </x:c>
      <x:c r="AG16" s="148" t="s">
        <x:v>488</x:v>
      </x:c>
      <x:c r="AH16" s="148" t="s">
        <x:v>488</x:v>
      </x:c>
      <x:c r="AI16" s="148" t="s">
        <x:v>488</x:v>
      </x:c>
      <x:c r="AJ16" s="148" t="s">
        <x:v>489</x:v>
      </x:c>
      <x:c r="AK16" s="147" t="s">
        <x:v>490</x:v>
      </x:c>
      <x:c r="AL16" s="148" t="s">
        <x:v>488</x:v>
      </x:c>
      <x:c r="AM16" s="147" t="n">
        <x:v>999</x:v>
      </x:c>
      <x:c r="AN16" s="147" t="b">
        <x:f aca="0">TRUE()</x:f>
        <x:v>1</x:v>
      </x:c>
      <x:c r="AO16" s="147" t="s">
        <x:v>491</x:v>
      </x:c>
      <x:c r="AP16" s="139" t="str">
        <x:v>Pending</x:v>
      </x:c>
      <x:c r="AQ16" s="88" t="str">
        <x:v>Pending (Civic-first; not yet researched); </x:v>
      </x:c>
    </x:row>
    <x:row r="17" ht="21.600000381469727" hidden="0" customHeight="1">
      <x:c r="A17" s="25" t="n">
        <x:v>900006</x:v>
      </x:c>
      <x:c r="B17" s="25" t="n">
        <x:v>910006</x:v>
      </x:c>
      <x:c r="C17" s="18" t="n">
        <x:v>2017</x:v>
      </x:c>
      <x:c r="D17" s="18" t="s">
        <x:v>502</x:v>
      </x:c>
      <x:c r="E17" s="18" t="s">
        <x:v>503</x:v>
      </x:c>
      <x:c r="F17" s="18" t="s">
        <x:v>135</x:v>
      </x:c>
      <x:c r="G17" s="18" t="s">
        <x:v>431</x:v>
      </x:c>
      <x:c r="H17" s="25" t="n">
        <x:v>700601</x:v>
      </x:c>
      <x:c r="I17" s="18" t="n">
        <x:v>2.5</x:v>
      </x:c>
      <x:c r="J17" s="18" t="n">
        <x:v>4</x:v>
      </x:c>
      <x:c r="K17" s="18" t="s">
        <x:v>504</x:v>
      </x:c>
      <x:c r="L17" s="18" t="s">
        <x:v>433</x:v>
      </x:c>
      <x:c r="M17" s="18" t="s">
        <x:v>434</x:v>
      </x:c>
      <x:c r="N17" s="135" t="s">
        <x:v>488</x:v>
      </x:c>
      <x:c r="O17" s="135" t="s">
        <x:v>488</x:v>
      </x:c>
      <x:c r="P17" s="135" t="s">
        <x:v>488</x:v>
      </x:c>
      <x:c r="Q17" s="135" t="s">
        <x:v>488</x:v>
      </x:c>
      <x:c r="R17" s="132" t="n">
        <x:v>12</x:v>
      </x:c>
      <x:c r="S17" s="132" t="b">
        <x:f aca="0">FALSE()</x:f>
        <x:v>0</x:v>
      </x:c>
      <x:c r="T17" s="132" t="b">
        <x:f aca="0">FALSE()</x:f>
        <x:v>0</x:v>
      </x:c>
      <x:c r="U17" s="135" t="s">
        <x:v>488</x:v>
      </x:c>
      <x:c r="V17" s="135" t="s">
        <x:v>488</x:v>
      </x:c>
      <x:c r="W17" s="135" t="s">
        <x:v>488</x:v>
      </x:c>
      <x:c r="X17" s="132" t="n">
        <x:v>12</x:v>
      </x:c>
      <x:c r="Y17" s="135" t="s">
        <x:v>488</x:v>
      </x:c>
      <x:c r="Z17" s="135" t="s">
        <x:v>488</x:v>
      </x:c>
      <x:c r="AA17" s="135" t="s">
        <x:v>488</x:v>
      </x:c>
      <x:c r="AB17" s="132" t="s">
        <x:v>440</x:v>
      </x:c>
      <x:c r="AC17" s="132" t="s">
        <x:v>440</x:v>
      </x:c>
      <x:c r="AD17" s="132" t="s">
        <x:v>440</x:v>
      </x:c>
      <x:c r="AE17" s="135" t="s">
        <x:v>488</x:v>
      </x:c>
      <x:c r="AF17" s="135" t="s">
        <x:v>488</x:v>
      </x:c>
      <x:c r="AG17" s="135" t="s">
        <x:v>488</x:v>
      </x:c>
      <x:c r="AH17" s="135" t="s">
        <x:v>488</x:v>
      </x:c>
      <x:c r="AI17" s="135" t="s">
        <x:v>488</x:v>
      </x:c>
      <x:c r="AJ17" s="135" t="s">
        <x:v>489</x:v>
      </x:c>
      <x:c r="AK17" s="132" t="s">
        <x:v>490</x:v>
      </x:c>
      <x:c r="AL17" s="135" t="s">
        <x:v>488</x:v>
      </x:c>
      <x:c r="AM17" s="132" t="n">
        <x:v>999</x:v>
      </x:c>
      <x:c r="AN17" s="132" t="b">
        <x:f aca="0">TRUE()</x:f>
        <x:v>1</x:v>
      </x:c>
      <x:c r="AO17" s="132" t="s">
        <x:v>491</x:v>
      </x:c>
      <x:c r="AP17" s="139" t="str">
        <x:v>Pending</x:v>
      </x:c>
      <x:c r="AQ17" s="88" t="str">
        <x:v>Pending (Civic-first; not yet researched); </x:v>
      </x:c>
    </x:row>
  </x:sheetData>
  <x:mergeCells>
    <x:mergeCell ref="A1:AP1"/>
  </x:mergeCells>
  <x:dataValidations count="1">
    <x:dataValidation type="list" sqref="AP3:AP17">
      <x:formula1>"Verified,Partially verified,Conflicting sources,Not publicly verified,Pending"</x:formula1>
    </x:dataValidation>
  </x:dataValidations>
  <x:pageMargins left="0.7" right="0.7" top="0.75" bottom="0.75" header="0.3" footer="0.3"/>
  <x:legacyDrawing xmlns:r="http://schemas.openxmlformats.org/officeDocument/2006/relationships" r:id="R7f20ea2a11f1420f"/>
</x:worksheet>
</file>

<file path=xl/worksheets/sheet4.xml><?xml version="1.0" encoding="utf-8"?>
<x:worksheet xmlns:x="http://schemas.openxmlformats.org/spreadsheetml/2006/main">
  <x:sheetViews>
    <x:sheetView showGridLines="1" workbookViewId="0">
      <x:pane ySplit="4" topLeftCell="A5" activePane="bottomLeft" state="frozen"/>
    </x:sheetView>
  </x:sheetViews>
  <x:sheetFormatPr defaultColWidth="8.6796875" defaultRowHeight="15"/>
  <x:cols>
    <x:col min="1" max="1" width="6" style="1" hidden="0" customWidth="1"/>
    <x:col min="2" max="2" width="52" style="1" hidden="0" customWidth="1"/>
    <x:col min="3" max="3" width="24" style="1" hidden="0" customWidth="1"/>
    <x:col min="4" max="4" width="44" style="1" hidden="0" customWidth="1"/>
    <x:col min="5" max="5" width="78" style="1" hidden="0" customWidth="1"/>
    <x:col min="6" max="6" width="60" hidden="0" customWidth="1"/>
    <x:col min="7" max="7" width="14" hidden="0" customWidth="1"/>
    <x:col min="8" max="8" width="55" hidden="0" customWidth="1"/>
    <x:col min="9" max="9" width="19" hidden="0" customWidth="1"/>
  </x:cols>
  <x:sheetData>
    <x:row r="1" ht="18" hidden="0" customHeight="1">
      <x:c r="A1" s="37" t="s">
        <x:v>505</x:v>
      </x:c>
    </x:row>
    <x:row r="2" ht="15" hidden="0" customHeight="1">
      <x:c r="A2" s="38" t="s">
        <x:v>506</x:v>
      </x:c>
    </x:row>
    <x:row r="4" ht="15" hidden="0" customHeight="1">
      <x:c r="A4" s="39" t="s">
        <x:v>507</x:v>
      </x:c>
      <x:c r="B4" s="39" t="s">
        <x:v>508</x:v>
      </x:c>
      <x:c r="C4" s="39" t="s">
        <x:v>509</x:v>
      </x:c>
      <x:c r="D4" s="39" t="s">
        <x:v>510</x:v>
      </x:c>
      <x:c r="E4" s="39" t="s">
        <x:v>511</x:v>
      </x:c>
      <x:c r="F4" t="str">
        <x:v>URL</x:v>
      </x:c>
      <x:c r="G4" t="str">
        <x:v>checked_at</x:v>
      </x:c>
      <x:c r="H4" t="str">
        <x:v>scope / review status</x:v>
      </x:c>
      <x:c r="I4" t="str">
        <x:v>data_source_id</x:v>
      </x:c>
    </x:row>
    <x:row r="5" ht="39.599998474121094" hidden="0" customHeight="1">
      <x:c r="A5" s="132" t="s">
        <x:v>512</x:v>
      </x:c>
      <x:c r="B5" s="132" t="s">
        <x:v>513</x:v>
      </x:c>
      <x:c r="C5" s="132" t="s">
        <x:v>514</x:v>
      </x:c>
      <x:c r="D5" s="132" t="s">
        <x:v>52</x:v>
      </x:c>
      <x:c r="E5" s="132" t="s">
        <x:v>515</x:v>
      </x:c>
      <x:c r="F5" s="88" t="str">
        <x:v>https://services.firestonecompleteautocare.com/honda/civic-2016-2021/</x:v>
      </x:c>
      <x:c r="G5" s="105" t="n">
        <x:v>46288</x:v>
      </x:c>
      <x:c r="H5" s="88" t="str">
        <x:v>Specific source page located and checked. Supports only its stated product/year/trim scope; historical claims are not automatically verified by URL reachability.</x:v>
      </x:c>
      <x:c r="I5" s="129" t="n">
        <x:v>1</x:v>
      </x:c>
    </x:row>
    <x:row r="6" ht="39.599998474121094" hidden="0" customHeight="1">
      <x:c r="A6" s="147" t="s">
        <x:v>516</x:v>
      </x:c>
      <x:c r="B6" s="147" t="s">
        <x:v>517</x:v>
      </x:c>
      <x:c r="C6" s="147" t="s">
        <x:v>518</x:v>
      </x:c>
      <x:c r="D6" s="147" t="s">
        <x:v>52</x:v>
      </x:c>
      <x:c r="E6" s="147" t="s">
        <x:v>519</x:v>
      </x:c>
      <x:c r="F6" s="88" t="str">
        <x:v>no URL on record</x:v>
      </x:c>
      <x:c r="G6" s="88"/>
      <x:c r="H6" s="88" t="str">
        <x:v>no URL on record. Legacy attribution retained; exact supporting page not recovered. Do not treat the source name or publisher homepage as a verified citation.</x:v>
      </x:c>
      <x:c r="I6" s="129" t="n">
        <x:v>2</x:v>
      </x:c>
    </x:row>
    <x:row r="7" ht="39.599998474121094" hidden="0" customHeight="1">
      <x:c r="A7" s="132" t="s">
        <x:v>520</x:v>
      </x:c>
      <x:c r="B7" s="132" t="s">
        <x:v>521</x:v>
      </x:c>
      <x:c r="C7" s="132" t="s">
        <x:v>522</x:v>
      </x:c>
      <x:c r="D7" s="132" t="s">
        <x:v>56</x:v>
      </x:c>
      <x:c r="E7" s="132" t="s">
        <x:v>523</x:v>
      </x:c>
      <x:c r="F7" s="88" t="str">
        <x:v>https://www.autopadre.com/battery-size/honda-civic</x:v>
      </x:c>
      <x:c r="G7" s="105" t="n">
        <x:v>46288</x:v>
      </x:c>
      <x:c r="H7" s="88" t="str">
        <x:v>Specific source page located and checked. Supports only its stated product/year/trim scope; historical claims are not automatically verified by URL reachability.</x:v>
      </x:c>
      <x:c r="I7" s="129" t="n">
        <x:v>3</x:v>
      </x:c>
    </x:row>
    <x:row r="8" ht="39.599998474121094" hidden="0" customHeight="1">
      <x:c r="A8" s="147" t="s">
        <x:v>524</x:v>
      </x:c>
      <x:c r="B8" s="147" t="s">
        <x:v>525</x:v>
      </x:c>
      <x:c r="C8" s="147" t="s">
        <x:v>526</x:v>
      </x:c>
      <x:c r="D8" s="147" t="s">
        <x:v>56</x:v>
      </x:c>
      <x:c r="E8" s="147" t="str">
        <x:v>Current page table associates Type R H5 (47) with 2020–2021; prior workbook attributed 2019–2020. Preserve this scope discrepancy; no confirmed 2019 fitment follows.</x:v>
      </x:c>
      <x:c r="F8" s="88" t="str">
        <x:v>https://hondatheotherside.com/honda-civic-battery-size/</x:v>
      </x:c>
      <x:c r="G8" s="105" t="n">
        <x:v>46288</x:v>
      </x:c>
      <x:c r="H8" s="88" t="str">
        <x:v>Specific source page located and checked. Supports only its stated product/year/trim scope; historical claims are not automatically verified by URL reachability.</x:v>
      </x:c>
      <x:c r="I8" s="129" t="n">
        <x:v>4</x:v>
      </x:c>
    </x:row>
    <x:row r="9" ht="39.599998474121094" hidden="0" customHeight="1">
      <x:c r="A9" s="132" t="s">
        <x:v>527</x:v>
      </x:c>
      <x:c r="B9" s="132" t="s">
        <x:v>528</x:v>
      </x:c>
      <x:c r="C9" s="132" t="s">
        <x:v>526</x:v>
      </x:c>
      <x:c r="D9" s="132" t="s">
        <x:v>56</x:v>
      </x:c>
      <x:c r="E9" s="132" t="str">
        <x:v>Historical RevCivic claims: H5/H6 and larger performance cases; article asserts AGM for idle-stop. This is a source claim, not exact-configuration OEM support.</x:v>
      </x:c>
      <x:c r="F9" s="88" t="str">
        <x:v>https://revcivic.com/honda-civic-battery-group-size-guide-exact-sizes-by-year-trim/</x:v>
      </x:c>
      <x:c r="G9" s="105" t="n">
        <x:v>46288</x:v>
      </x:c>
      <x:c r="H9" s="88" t="str">
        <x:v>Specific source page located and checked. Supports only its stated product/year/trim scope; historical claims are not automatically verified by URL reachability.</x:v>
      </x:c>
      <x:c r="I9" s="129" t="n">
        <x:v>5</x:v>
      </x:c>
    </x:row>
    <x:row r="10" ht="39.599998474121094" hidden="0" customHeight="1">
      <x:c r="A10" s="147" t="s">
        <x:v>529</x:v>
      </x:c>
      <x:c r="B10" s="147" t="s">
        <x:v>530</x:v>
      </x:c>
      <x:c r="C10" s="147" t="s">
        <x:v>531</x:v>
      </x:c>
      <x:c r="D10" s="147" t="s">
        <x:v>52</x:v>
      </x:c>
      <x:c r="E10" s="147" t="s">
        <x:v>532</x:v>
      </x:c>
      <x:c r="F10" s="88" t="str">
        <x:v>https://www.optimabatteries.com/experience/blog/what-size-battery-fits-my-honda-civic</x:v>
      </x:c>
      <x:c r="G10" s="105" t="n">
        <x:v>46288</x:v>
      </x:c>
      <x:c r="H10" s="88" t="str">
        <x:v>Specific source page located and checked. Supports only its stated product/year/trim scope; historical claims are not automatically verified by URL reachability.</x:v>
      </x:c>
      <x:c r="I10" s="129" t="n">
        <x:v>6</x:v>
      </x:c>
    </x:row>
    <x:row r="11" ht="39.599998474121094" hidden="0" customHeight="1">
      <x:c r="A11" s="132" t="s">
        <x:v>533</x:v>
      </x:c>
      <x:c r="B11" s="132" t="s">
        <x:v>534</x:v>
      </x:c>
      <x:c r="C11" s="132" t="s">
        <x:v>535</x:v>
      </x:c>
      <x:c r="D11" s="132" t="s">
        <x:v>52</x:v>
      </x:c>
      <x:c r="E11" s="132" t="s">
        <x:v>536</x:v>
      </x:c>
      <x:c r="F11" s="88" t="str">
        <x:v>https://shop.advanceautoparts.com/find/2023-honda-civic-batteries</x:v>
      </x:c>
      <x:c r="G11" s="105" t="n">
        <x:v>46288</x:v>
      </x:c>
      <x:c r="H11" s="88" t="str">
        <x:v>Specific source page located and checked. Supports only its stated product/year/trim scope; historical claims are not automatically verified by URL reachability.</x:v>
      </x:c>
      <x:c r="I11" s="129" t="n">
        <x:v>7</x:v>
      </x:c>
    </x:row>
    <x:row r="12" ht="39.599998474121094" hidden="0" customHeight="1">
      <x:c r="A12" s="147" t="s">
        <x:v>537</x:v>
      </x:c>
      <x:c r="B12" s="147" t="s">
        <x:v>538</x:v>
      </x:c>
      <x:c r="C12" s="147" t="s">
        <x:v>539</x:v>
      </x:c>
      <x:c r="D12" s="147" t="s">
        <x:v>56</x:v>
      </x:c>
      <x:c r="E12" s="147" t="s">
        <x:v>540</x:v>
      </x:c>
      <x:c r="F12" s="88" t="str">
        <x:v>no URL on record</x:v>
      </x:c>
      <x:c r="G12" s="88"/>
      <x:c r="H12" s="88" t="str">
        <x:v>no URL on record. Legacy attribution retained; exact supporting page not recovered. Do not treat the source name or publisher homepage as a verified citation.</x:v>
      </x:c>
      <x:c r="I12" s="129" t="n">
        <x:v>8</x:v>
      </x:c>
    </x:row>
    <x:row r="13" ht="26.399999618530273" hidden="0" customHeight="1">
      <x:c r="A13" s="132" t="s">
        <x:v>541</x:v>
      </x:c>
      <x:c r="B13" s="132" t="str">
        <x:v>UnderhoodService: Tech Tip: Demystifying Honda ELDs (15 Nov 2010)</x:v>
      </x:c>
      <x:c r="C13" s="132" t="s">
        <x:v>542</x:v>
      </x:c>
      <x:c r="D13" s="132" t="s">
        <x:v>46</x:v>
      </x:c>
      <x:c r="E13" s="132" t="s">
        <x:v>543</x:v>
      </x:c>
      <x:c r="F13" s="88" t="str">
        <x:v>https://www.underhoodservice.com/tech-tip-demystifying-honda-elds/</x:v>
      </x:c>
      <x:c r="G13" s="105" t="n">
        <x:v>46288</x:v>
      </x:c>
      <x:c r="H13" s="88" t="str">
        <x:v>General 2010 ELD background article. Does not establish exact 2018/2023 Civic charging architecture or setpoints.</x:v>
      </x:c>
      <x:c r="I13" s="129" t="n">
        <x:v>9</x:v>
      </x:c>
    </x:row>
    <x:row r="14" ht="39.599998474121094" hidden="0" customHeight="1">
      <x:c r="A14" s="147" t="s">
        <x:v>544</x:v>
      </x:c>
      <x:c r="B14" s="147" t="s">
        <x:v>545</x:v>
      </x:c>
      <x:c r="C14" s="147" t="s">
        <x:v>546</x:v>
      </x:c>
      <x:c r="D14" s="147" t="s">
        <x:v>52</x:v>
      </x:c>
      <x:c r="E14" s="147" t="s">
        <x:v>547</x:v>
      </x:c>
      <x:c r="F14" s="88" t="str">
        <x:v>no URL on record</x:v>
      </x:c>
      <x:c r="G14" s="88"/>
      <x:c r="H14" s="88" t="str">
        <x:v>no URL on record. Legacy attribution retained; exact supporting page not recovered. Do not treat the source name or publisher homepage as a verified citation.</x:v>
      </x:c>
      <x:c r="I14" s="129" t="n">
        <x:v>10</x:v>
      </x:c>
    </x:row>
    <x:row r="15" ht="39.599998474121094" hidden="0" customHeight="1">
      <x:c r="A15" s="132" t="s">
        <x:v>548</x:v>
      </x:c>
      <x:c r="B15" s="132" t="s">
        <x:v>549</x:v>
      </x:c>
      <x:c r="C15" s="132" t="s">
        <x:v>542</x:v>
      </x:c>
      <x:c r="D15" s="132" t="s">
        <x:v>46</x:v>
      </x:c>
      <x:c r="E15" s="132" t="s">
        <x:v>550</x:v>
      </x:c>
      <x:c r="F15" s="88" t="str">
        <x:v>no URL on record</x:v>
      </x:c>
      <x:c r="G15" s="88"/>
      <x:c r="H15" s="88" t="str">
        <x:v>no URL on record. Legacy attribution retained; exact supporting page not recovered. Do not treat the source name or publisher homepage as a verified citation.</x:v>
      </x:c>
      <x:c r="I15" s="129" t="n">
        <x:v>11</x:v>
      </x:c>
    </x:row>
    <x:row r="16" ht="39.599998474121094" hidden="0" customHeight="1">
      <x:c r="A16" s="147" t="s">
        <x:v>551</x:v>
      </x:c>
      <x:c r="B16" s="147" t="str">
        <x:v>Honda Dual Mode Charging System: Honda / Acura Model Years 1990–2012 (partinstall.com)</x:v>
      </x:c>
      <x:c r="C16" s="147" t="str">
        <x:v>Technical guide hosted by third party; OEM authorship unverified</x:v>
      </x:c>
      <x:c r="D16" s="147" t="str">
        <x:v>C</x:v>
      </x:c>
      <x:c r="E16" s="147" t="s">
        <x:v>552</x:v>
      </x:c>
      <x:c r="F16" s="88" t="str">
        <x:v>https://www.partinstall.com/file/general/Honda%20Dual%20Mode.pdf</x:v>
      </x:c>
      <x:c r="G16" s="105" t="n">
        <x:v>46288</x:v>
      </x:c>
      <x:c r="H16" s="88" t="str">
        <x:v>Title page explicitly limits coverage to Honda/Acura 1990–2012. Not exact-year evidence for the 2018/2023 Civic rows. OEM authorship not established.</x:v>
      </x:c>
      <x:c r="I16" s="129" t="n">
        <x:v>12</x:v>
      </x:c>
    </x:row>
    <x:row r="17" ht="39.599998474121094" hidden="0" customHeight="1">
      <x:c r="A17" s="132" t="s">
        <x:v>553</x:v>
      </x:c>
      <x:c r="B17" s="132" t="s">
        <x:v>554</x:v>
      </x:c>
      <x:c r="C17" s="132" t="s">
        <x:v>555</x:v>
      </x:c>
      <x:c r="D17" s="132" t="s">
        <x:v>56</x:v>
      </x:c>
      <x:c r="E17" s="132" t="s">
        <x:v>556</x:v>
      </x:c>
      <x:c r="F17" s="88" t="str">
        <x:v>no URL on record</x:v>
      </x:c>
      <x:c r="G17" s="88"/>
      <x:c r="H17" s="88" t="str">
        <x:v>no URL on record. Legacy attribution retained; exact supporting page not recovered. Do not treat the source name or publisher homepage as a verified citation.</x:v>
      </x:c>
      <x:c r="I17" s="129" t="n">
        <x:v>13</x:v>
      </x:c>
    </x:row>
    <x:row r="18" ht="39.599998474121094" hidden="0" customHeight="1">
      <x:c r="A18" s="147" t="s">
        <x:v>557</x:v>
      </x:c>
      <x:c r="B18" s="147" t="s">
        <x:v>558</x:v>
      </x:c>
      <x:c r="C18" s="147" t="s">
        <x:v>559</x:v>
      </x:c>
      <x:c r="D18" s="147" t="s">
        <x:v>46</x:v>
      </x:c>
      <x:c r="E18" s="147" t="s">
        <x:v>560</x:v>
      </x:c>
      <x:c r="F18" s="88" t="str">
        <x:v>no URL on record</x:v>
      </x:c>
      <x:c r="G18" s="88"/>
      <x:c r="H18" s="88" t="str">
        <x:v>no URL on record. Legacy attribution retained; exact supporting page not recovered. Do not treat the source name or publisher homepage as a verified citation.</x:v>
      </x:c>
      <x:c r="I18" s="129" t="n">
        <x:v>14</x:v>
      </x:c>
    </x:row>
    <x:row r="19" ht="39.599998474121094" hidden="0" customHeight="1">
      <x:c r="A19" s="132" t="s">
        <x:v>561</x:v>
      </x:c>
      <x:c r="B19" s="132" t="s">
        <x:v>562</x:v>
      </x:c>
      <x:c r="C19" s="132" t="s">
        <x:v>563</x:v>
      </x:c>
      <x:c r="D19" s="132" t="s">
        <x:v>52</x:v>
      </x:c>
      <x:c r="E19" s="132" t="s">
        <x:v>564</x:v>
      </x:c>
      <x:c r="F19" s="88" t="str">
        <x:v>no URL on record</x:v>
      </x:c>
      <x:c r="G19" s="88"/>
      <x:c r="H19" s="88" t="str">
        <x:v>no URL on record. Legacy attribution retained; exact supporting page not recovered. Do not treat the source name or publisher homepage as a verified citation.</x:v>
      </x:c>
      <x:c r="I19" s="129" t="n">
        <x:v>15</x:v>
      </x:c>
    </x:row>
    <x:row r="20" ht="39.599998474121094" hidden="0" customHeight="1">
      <x:c r="A20" s="147" t="s">
        <x:v>565</x:v>
      </x:c>
      <x:c r="B20" s="147" t="s">
        <x:v>566</x:v>
      </x:c>
      <x:c r="C20" s="147" t="s">
        <x:v>567</x:v>
      </x:c>
      <x:c r="D20" s="147" t="s">
        <x:v>46</x:v>
      </x:c>
      <x:c r="E20" s="147" t="s">
        <x:v>568</x:v>
      </x:c>
      <x:c r="F20" s="88" t="str">
        <x:v>no URL on record</x:v>
      </x:c>
      <x:c r="G20" s="88"/>
      <x:c r="H20" s="88" t="str">
        <x:v>no URL on record. Legacy attribution retained; exact supporting page not recovered. Do not treat the source name or publisher homepage as a verified citation.</x:v>
      </x:c>
      <x:c r="I20" s="129" t="n">
        <x:v>16</x:v>
      </x:c>
    </x:row>
    <x:row r="21" ht="39.599998474121094" hidden="0" customHeight="1">
      <x:c r="A21" s="132" t="s">
        <x:v>569</x:v>
      </x:c>
      <x:c r="B21" s="132" t="s">
        <x:v>570</x:v>
      </x:c>
      <x:c r="C21" s="132" t="s">
        <x:v>559</x:v>
      </x:c>
      <x:c r="D21" s="132" t="s">
        <x:v>46</x:v>
      </x:c>
      <x:c r="E21" s="132" t="s">
        <x:v>571</x:v>
      </x:c>
      <x:c r="F21" s="88" t="str">
        <x:v>no URL on record</x:v>
      </x:c>
      <x:c r="G21" s="88"/>
      <x:c r="H21" s="88" t="str">
        <x:v>no URL on record. Legacy attribution retained; exact supporting page not recovered. Do not treat the source name or publisher homepage as a verified citation.</x:v>
      </x:c>
      <x:c r="I21" s="129" t="n">
        <x:v>17</x:v>
      </x:c>
    </x:row>
    <x:row r="22" ht="39.599998474121094" hidden="0" customHeight="1">
      <x:c r="A22" s="147" t="s">
        <x:v>572</x:v>
      </x:c>
      <x:c r="B22" s="147" t="s">
        <x:v>573</x:v>
      </x:c>
      <x:c r="C22" s="147" t="s">
        <x:v>574</x:v>
      </x:c>
      <x:c r="D22" s="147" t="str">
        <x:v>D</x:v>
      </x:c>
      <x:c r="E22" s="147" t="s">
        <x:v>575</x:v>
      </x:c>
      <x:c r="F22" s="88" t="str">
        <x:v>no URL on record</x:v>
      </x:c>
      <x:c r="G22" s="88"/>
      <x:c r="H22" s="88" t="str">
        <x:v>no URL on record. Legacy attribution retained; exact supporting page not recovered. Do not treat the source name or publisher homepage as a verified citation. Prior tier wording was D (weak); weak owner-forum evidence remains the limitation.</x:v>
      </x:c>
      <x:c r="I22" s="129" t="n">
        <x:v>18</x:v>
      </x:c>
    </x:row>
    <x:row r="23" ht="39.599998474121094" hidden="0" customHeight="1">
      <x:c r="A23" s="132" t="s">
        <x:v>576</x:v>
      </x:c>
      <x:c r="B23" s="132" t="s">
        <x:v>577</x:v>
      </x:c>
      <x:c r="C23" s="132" t="s">
        <x:v>578</x:v>
      </x:c>
      <x:c r="D23" s="132" t="s">
        <x:v>46</x:v>
      </x:c>
      <x:c r="E23" s="132" t="s">
        <x:v>579</x:v>
      </x:c>
      <x:c r="F23" s="88" t="str">
        <x:v>no URL on record</x:v>
      </x:c>
      <x:c r="G23" s="88"/>
      <x:c r="H23" s="88" t="str">
        <x:v>no URL on record. Legacy attribution retained; exact supporting page not recovered. Do not treat the source name or publisher homepage as a verified citation.</x:v>
      </x:c>
      <x:c r="I23" s="129" t="n">
        <x:v>19</x:v>
      </x:c>
    </x:row>
    <x:row r="24" ht="52.79999923706055" hidden="0" customHeight="1">
      <x:c r="A24" s="132" t="s">
        <x:v>580</x:v>
      </x:c>
      <x:c r="B24" s="132" t="str">
        <x:v>Honda Canada 2025 Civic Hybrid Emergency Response Guide, 26065 (2406), Version 1</x:v>
      </x:c>
      <x:c r="C24" s="132" t="s">
        <x:v>581</x:v>
      </x:c>
      <x:c r="D24" s="132" t="s">
        <x:v>46</x:v>
      </x:c>
      <x:c r="E24" s="132" t="s">
        <x:v>582</x:v>
      </x:c>
      <x:c r="F24" s="88" t="str">
        <x:v>https://www.honda.ca/Content/honda.ca/960C3EB4-D8E4-4446-B894-8A66DDE970B4/GenericContent_FFH/2025%20Civic%20Hybrid%20Emergency%20Response%20Guide%20%28final%29%20EN.pdf</x:v>
      </x:c>
      <x:c r="G24" s="105" t="n">
        <x:v>46288</x:v>
      </x:c>
      <x:c r="H24" s="88" t="str">
        <x:v>Canadian Version 1, 2025 only. Previously uploaded source; original extraction retained. Direct PDF location identified, but this pass could not retrieve its full contents. Neutral-shift claim is the historical V1 attribution; do not substitute American Version 2.</x:v>
      </x:c>
      <x:c r="I24" s="129" t="n">
        <x:v>20</x:v>
      </x:c>
    </x:row>
    <x:row r="25">
      <x:c r="I25" s="128"/>
    </x:row>
    <x:row r="26" ht="15" hidden="0" customHeight="1">
      <x:c r="A26" s="11" t="s">
        <x:v>583</x:v>
      </x:c>
      <x:c r="I26" s="128"/>
    </x:row>
    <x:row r="27" ht="15" hidden="0" customHeight="1">
      <x:c r="A27" s="12" t="s">
        <x:v>584</x:v>
      </x:c>
      <x:c r="B27" s="12"/>
      <x:c r="C27" s="12"/>
      <x:c r="D27" s="12"/>
      <x:c r="E27" s="12"/>
      <x:c r="I27" s="128"/>
    </x:row>
    <x:row r="28" ht="15" hidden="0" customHeight="1">
      <x:c r="A28" s="12" t="s">
        <x:v>585</x:v>
      </x:c>
      <x:c r="B28" s="12"/>
      <x:c r="C28" s="12"/>
      <x:c r="D28" s="12"/>
      <x:c r="E28" s="12"/>
      <x:c r="I28" s="128"/>
    </x:row>
    <x:row r="29" ht="15" hidden="0" customHeight="1">
      <x:c r="A29" s="12" t="s">
        <x:v>586</x:v>
      </x:c>
      <x:c r="B29" s="12"/>
      <x:c r="C29" s="12"/>
      <x:c r="D29" s="12"/>
      <x:c r="E29" s="12"/>
      <x:c r="I29" s="128"/>
    </x:row>
    <x:row r="30" ht="15" hidden="0" customHeight="1">
      <x:c r="A30" s="12" t="s">
        <x:v>587</x:v>
      </x:c>
      <x:c r="B30" s="12"/>
      <x:c r="C30" s="12"/>
      <x:c r="D30" s="12"/>
      <x:c r="E30" s="12"/>
      <x:c r="I30" s="128"/>
    </x:row>
    <x:row r="31" ht="15" hidden="0" customHeight="1">
      <x:c r="A31" s="12" t="s">
        <x:v>588</x:v>
      </x:c>
      <x:c r="B31" s="12"/>
      <x:c r="C31" s="12"/>
      <x:c r="D31" s="12"/>
      <x:c r="E31" s="12"/>
      <x:c r="I31" s="128"/>
    </x:row>
    <x:row r="32">
      <x:c r="I32" s="128"/>
    </x:row>
    <x:row r="33" ht="21.75" hidden="0" customHeight="1">
      <x:c r="A33" s="40" t="s">
        <x:v>589</x:v>
      </x:c>
      <x:c r="B33" s="40"/>
      <x:c r="C33" s="40"/>
      <x:c r="D33" s="40"/>
      <x:c r="E33" s="40"/>
      <x:c r="I33" s="128"/>
    </x:row>
    <x:row r="34">
      <x:c r="I34" s="128"/>
    </x:row>
    <x:row r="35">
      <x:c r="A35" t="str">
        <x:v>Research batch checked 2026-09-23</x:v>
      </x:c>
      <x:c r="I35" s="128"/>
    </x:row>
    <x:row r="36" ht="80" customHeight="1">
      <x:c r="A36" s="89" t="str">
        <x:v>S21</x:v>
      </x:c>
      <x:c r="B36" s="89" t="str">
        <x:v>Toyota TrueStart / True-2 battery guide, 2024</x:v>
      </x:c>
      <x:c r="C36" s="89" t="str">
        <x:v>Manufacturer application guide</x:v>
      </x:c>
      <x:c r="D36" s="89" t="str">
        <x:v>A</x:v>
      </x:c>
      <x:c r="E36" s="89" t="str">
        <x:v>pp.1-3: application qualifiers, service battery ratings, dimensions. Dimensional discrepancy logged below.</x:v>
      </x:c>
      <x:c r="F36" s="89" t="str">
        <x:v>https://www.toyotapartsandservice.com/wp-content/uploads/2024/10/03_Batteries2024_hi.pdf</x:v>
      </x:c>
      <x:c r="G36" s="90" t="n">
        <x:v>46288</x:v>
      </x:c>
      <x:c r="H36" s="89" t="str">
        <x:v>Camry 2019 non-hybrid; RAV4 HV 2019 conditional applications. Historical guide, not live availability.</x:v>
      </x:c>
      <x:c r="I36" s="128" t="n">
        <x:v>21</x:v>
      </x:c>
    </x:row>
    <x:row r="37" ht="80" customHeight="1">
      <x:c r="A37" s="89" t="str">
        <x:v>S22</x:v>
      </x:c>
      <x:c r="B37" s="89" t="str">
        <x:v>2019 Camry Owner’s Manual OM06142U</x:v>
      </x:c>
      <x:c r="C37" s="89" t="str">
        <x:v>Manufacturer manual</x:v>
      </x:c>
      <x:c r="D37" s="89" t="str">
        <x:v>A</x:v>
      </x:c>
      <x:c r="E37" s="89" t="str">
        <x:v>pp.529,545-546: voltage class, A25A-FKS spark plug, conditional charging limits.</x:v>
      </x:c>
      <x:c r="F37" s="89" t="str">
        <x:v>https://assets.sia.toyota.com/publications/en/om-s/OM06142U/pdf/OM06142U.pdf</x:v>
      </x:c>
      <x:c r="G37" s="90" t="n">
        <x:v>46288</x:v>
      </x:c>
      <x:c r="H37" s="89" t="str">
        <x:v>US non-hybrid manual; no generation-wide extension.</x:v>
      </x:c>
      <x:c r="I37" s="128" t="n">
        <x:v>22</x:v>
      </x:c>
    </x:row>
    <x:row r="38" ht="80" customHeight="1">
      <x:c r="A38" s="89" t="str">
        <x:v>S23</x:v>
      </x:c>
      <x:c r="B38" s="89" t="str">
        <x:v>Toyota TrueStart H6 product page</x:v>
      </x:c>
      <x:c r="C38" s="89" t="str">
        <x:v>Manufacturer product catalog</x:v>
      </x:c>
      <x:c r="D38" s="89" t="str">
        <x:v>A</x:v>
      </x:c>
      <x:c r="E38" s="89" t="str">
        <x:v>00544-H6074-770: group, CCA, reserve capacity and warranty.</x:v>
      </x:c>
      <x:c r="F38" s="89" t="str">
        <x:v>https://autoparts.toyota.com/products/product/toyota-truestart-battery-770-cca-00544h6074770</x:v>
      </x:c>
      <x:c r="G38" s="90" t="n">
        <x:v>46288</x:v>
      </x:c>
      <x:c r="H38" s="89" t="str">
        <x:v>Service replacement ratings; factory-original battery rating not established.</x:v>
      </x:c>
      <x:c r="I38" s="128" t="n">
        <x:v>23</x:v>
      </x:c>
    </x:row>
    <x:row r="39" ht="80" customHeight="1">
      <x:c r="A39" s="89" t="str">
        <x:v>S24</x:v>
      </x:c>
      <x:c r="B39" s="89" t="str">
        <x:v>Toyota TrueStart H5 product page</x:v>
      </x:c>
      <x:c r="C39" s="89" t="str">
        <x:v>Manufacturer product catalog</x:v>
      </x:c>
      <x:c r="D39" s="89" t="str">
        <x:v>A</x:v>
      </x:c>
      <x:c r="E39" s="89" t="str">
        <x:v>00544-H5061-540: group, CCA, reserve capacity and warranty.</x:v>
      </x:c>
      <x:c r="F39" s="89" t="str">
        <x:v>https://autoparts.toyota.com/products/product/toyota-truestart-battery-540-cca-00544h5061540</x:v>
      </x:c>
      <x:c r="G39" s="90" t="n">
        <x:v>46288</x:v>
      </x:c>
      <x:c r="H39" s="89" t="str">
        <x:v>Service replacement ratings; vehicle fitment requires S21 qualifiers.</x:v>
      </x:c>
      <x:c r="I39" s="128" t="n">
        <x:v>24</x:v>
      </x:c>
    </x:row>
    <x:row r="40" ht="80" customHeight="1">
      <x:c r="A40" s="89" t="str">
        <x:v>S25</x:v>
      </x:c>
      <x:c r="B40" s="89" t="str">
        <x:v>Toyota PANT 2024-001, 1 Feb 2024</x:v>
      </x:c>
      <x:c r="C40" s="89" t="str">
        <x:v>Manufacturer bulletin (NHTSA-hosted)</x:v>
      </x:c>
      <x:c r="D40" s="89" t="str">
        <x:v>A</x:v>
      </x:c>
      <x:c r="E40" s="89" t="str">
        <x:v>New H4 service part 00544-H4470-TS, CCA, RC and warranty.</x:v>
      </x:c>
      <x:c r="F40" s="89" t="str">
        <x:v>https://static.nhtsa.gov/odi/tsbs/2024/MC-10251744-9999.pdf</x:v>
      </x:c>
      <x:c r="G40" s="90" t="n">
        <x:v>46288</x:v>
      </x:c>
      <x:c r="H40" s="89" t="str">
        <x:v>Use with S21 configuration restrictions; bulletin alone is not trim-specific.</x:v>
      </x:c>
      <x:c r="I40" s="128" t="n">
        <x:v>25</x:v>
      </x:c>
    </x:row>
    <x:row r="41" ht="80" customHeight="1">
      <x:c r="A41" s="89" t="str">
        <x:v>S26</x:v>
      </x:c>
      <x:c r="B41" s="89" t="str">
        <x:v>Interstate MTP-48/H6 product specifications</x:v>
      </x:c>
      <x:c r="C41" s="89" t="str">
        <x:v>Aftermarket manufacturer</x:v>
      </x:c>
      <x:c r="D41" s="89" t="str">
        <x:v>A</x:v>
      </x:c>
      <x:c r="E41" s="89" t="str">
        <x:v>Product-specific voltage, chemistry, Ah, CCA, CA, RC, dimensions.</x:v>
      </x:c>
      <x:c r="F41" s="89" t="str">
        <x:v>https://www.interstatebatteries.com/products/mtp-48/h6</x:v>
      </x:c>
      <x:c r="G41" s="90" t="n">
        <x:v>46288</x:v>
      </x:c>
      <x:c r="H41" s="89" t="str">
        <x:v>Product data verified; exact Camry LE fitment not established by generic vehicle list.</x:v>
      </x:c>
      <x:c r="I41" s="128" t="n">
        <x:v>26</x:v>
      </x:c>
    </x:row>
    <x:row r="42" ht="80" customHeight="1">
      <x:c r="A42" s="89" t="str">
        <x:v>S27</x:v>
      </x:c>
      <x:c r="B42" s="89" t="str">
        <x:v>Honda Automotive Parts: 2023 Civic Si 1.5L battery</x:v>
      </x:c>
      <x:c r="C42" s="89" t="str">
        <x:v>Dealer catalog listing</x:v>
      </x:c>
      <x:c r="D42" s="89" t="str">
        <x:v>B</x:v>
      </x:c>
      <x:c r="E42" s="89" t="str">
        <x:v>Lists 31500-TLA-EFB100M for selected Si configuration.</x:v>
      </x:c>
      <x:c r="F42" s="89" t="str">
        <x:v>https://www.hondaautomotiveparts.com/v-2023-honda-civic--si--1-5l-l4-gas/electrical--battery</x:v>
      </x:c>
      <x:c r="G42" s="90" t="n">
        <x:v>46288</x:v>
      </x:c>
      <x:c r="H42" s="89" t="str">
        <x:v>Catalog listing evidence only. No CCA, dimensions or complete physical-fit verification.</x:v>
      </x:c>
      <x:c r="I42" s="128" t="n">
        <x:v>27</x:v>
      </x:c>
    </x:row>
    <x:row r="43" ht="80" customHeight="1">
      <x:c r="A43" s="89" t="str">
        <x:v>S28</x:v>
      </x:c>
      <x:c r="B43" s="89" t="str">
        <x:v>Honda Automotive Parts: 2019 Civic Type R 2.0L battery</x:v>
      </x:c>
      <x:c r="C43" s="89" t="str">
        <x:v>Dealer catalog listing</x:v>
      </x:c>
      <x:c r="D43" s="89" t="str">
        <x:v>B</x:v>
      </x:c>
      <x:c r="E43" s="89" t="str">
        <x:v>Lists 31500-TGG-100M for selected Type R configuration.</x:v>
      </x:c>
      <x:c r="F43" s="89" t="str">
        <x:v>https://www.hondaautomotiveparts.com/v-2019-honda-civic--type-r--2-0l-l4-gas/electrical--battery</x:v>
      </x:c>
      <x:c r="G43" s="90" t="n">
        <x:v>46288</x:v>
      </x:c>
      <x:c r="H43" s="89" t="str">
        <x:v>Mixed generic description also says 1.5L turbo. Keep listing-qualified; confirm by VIN.</x:v>
      </x:c>
      <x:c r="I43" s="128" t="n">
        <x:v>28</x:v>
      </x:c>
    </x:row>
    <x:row r="44" ht="80" customHeight="1">
      <x:c r="A44" s="89" t="str">
        <x:v>S29</x:v>
      </x:c>
      <x:c r="B44" s="89" t="str">
        <x:v>2019 RAV4 Hybrid Owner’s Manual OM0R010U</x:v>
      </x:c>
      <x:c r="C44" s="89" t="str">
        <x:v>Manufacturer manual</x:v>
      </x:c>
      <x:c r="D44" s="89" t="str">
        <x:v>A</x:v>
      </x:c>
      <x:c r="E44" s="89" t="str">
        <x:v>pp.662,672,674: auxiliary Type A/B/C requirements, traction pack specifications and charging limits.</x:v>
      </x:c>
      <x:c r="F44" s="89" t="str">
        <x:v>https://assets.sia.toyota.com/publications/en/om-s/OM0R010U/pdf/OM0R010U.pdf</x:v>
      </x:c>
      <x:c r="G44" s="90" t="n">
        <x:v>46288</x:v>
      </x:c>
      <x:c r="H44" s="89" t="str">
        <x:v>Type A 285 / Type B 286 CCA rechecked against printed p.662; retained exactly as published. Traction pack p.672 visually checked. Installed auxiliary type remains unresolved.</x:v>
      </x:c>
      <x:c r="I44" s="128" t="n">
        <x:v>29</x:v>
      </x:c>
    </x:row>
    <x:row r="45" ht="48" customHeight="1">
      <x:c r="A45" s="88" t="str">
        <x:v>SYNTHETIC_SAMPLE</x:v>
      </x:c>
      <x:c r="B45" s="88" t="str">
        <x:v>Synthetic demo ingestion gate</x:v>
      </x:c>
      <x:c r="C45" s="88" t="str">
        <x:v>Synthetic</x:v>
      </x:c>
      <x:c r="D45" s="88" t="str">
        <x:v>N/A</x:v>
      </x:c>
      <x:c r="E45" s="88" t="str">
        <x:v>Reject source 999 outside development.</x:v>
      </x:c>
      <x:c r="F45" s="88"/>
      <x:c r="G45" s="88"/>
      <x:c r="H45" s="88" t="str">
        <x:v>Demo rows only; never mix with research records.</x:v>
      </x:c>
      <x:c r="I45" s="129" t="n">
        <x:v>999</x:v>
      </x:c>
    </x:row>
    <x:row r="47" ht="34" customHeight="1">
      <x:c r="A47" s="106" t="str">
        <x:v>ID</x:v>
      </x:c>
      <x:c r="B47" s="106" t="str">
        <x:v>worksheet / field</x:v>
      </x:c>
      <x:c r="C47" s="106" t="str">
        <x:v>prior or competing assertion</x:v>
      </x:c>
      <x:c r="D47" s="106" t="str">
        <x:v>new / competing assertion</x:v>
      </x:c>
      <x:c r="E47" s="106" t="str">
        <x:v>reason / conflict</x:v>
      </x:c>
      <x:c r="F47" s="106" t="str">
        <x:v>basis / source</x:v>
      </x:c>
      <x:c r="G47" s="106" t="str">
        <x:v>review date</x:v>
      </x:c>
      <x:c r="H47" s="106" t="str">
        <x:v>resolution</x:v>
      </x:c>
    </x:row>
    <x:row r="48" ht="15" hidden="0" customHeight="1">
      <x:c r="A48" s="89" t="str">
        <x:v>R001</x:v>
      </x:c>
      <x:c r="B48" s="89" t="str">
        <x:v>01_vehicles / T5</x:v>
      </x:c>
      <x:c r="C48" s="89" t="str">
        <x:v>false</x:v>
      </x:c>
      <x:c r="D48" s="89" t="str">
        <x:v>Not publicly verified</x:v>
      </x:c>
      <x:c r="E48" s="89" t="str">
        <x:v>No exact-year/trim primary evidence reviewed for this value. No standard-trim inheritance.</x:v>
      </x:c>
      <x:c r="F48" s="89" t="str">
        <x:v>Original workbook / reviewed sources S21-S29</x:v>
      </x:c>
      <x:c r="G48" s="90" t="n">
        <x:v>46288</x:v>
      </x:c>
      <x:c r="H48" s="89" t="str">
        <x:v>UNRESOLVED or withdrawn from active field; historical assertion retained</x:v>
      </x:c>
    </x:row>
    <x:row r="49" ht="15" hidden="0" customHeight="1">
      <x:c r="A49" s="89" t="str">
        <x:v>R002</x:v>
      </x:c>
      <x:c r="B49" s="89" t="str">
        <x:v>01_vehicles / U5</x:v>
      </x:c>
      <x:c r="C49" s="89" t="str">
        <x:v>51R (likely) - sources conflict</x:v>
      </x:c>
      <x:c r="D49" s="89" t="str">
        <x:v>Not publicly verified</x:v>
      </x:c>
      <x:c r="E49" s="89" t="str">
        <x:v>No exact-year/trim primary evidence reviewed for this value. No standard-trim inheritance.</x:v>
      </x:c>
      <x:c r="F49" s="89" t="str">
        <x:v>Original workbook / reviewed sources S21-S29</x:v>
      </x:c>
      <x:c r="G49" s="90" t="n">
        <x:v>46288</x:v>
      </x:c>
      <x:c r="H49" s="89" t="str">
        <x:v>Historical withdrawal superseded: disputed evidence restored to active fields on 2026-09-23; remains unresolved.</x:v>
      </x:c>
    </x:row>
    <x:row r="50" ht="15" hidden="0" customHeight="1">
      <x:c r="A50" s="89" t="str">
        <x:v>R003</x:v>
      </x:c>
      <x:c r="B50" s="89" t="str">
        <x:v>01_vehicles / V5</x:v>
      </x:c>
      <x:c r="C50" s="89" t="str">
        <x:v>EFB/AGM</x:v>
      </x:c>
      <x:c r="D50" s="89" t="str">
        <x:v>Not publicly verified</x:v>
      </x:c>
      <x:c r="E50" s="89" t="str">
        <x:v>No exact-year/trim primary evidence reviewed for this value. No standard-trim inheritance.</x:v>
      </x:c>
      <x:c r="F50" s="89" t="str">
        <x:v>Original workbook / reviewed sources S21-S29</x:v>
      </x:c>
      <x:c r="G50" s="90" t="n">
        <x:v>46288</x:v>
      </x:c>
      <x:c r="H50" s="89" t="str">
        <x:v>UNRESOLVED or withdrawn from active field; historical assertion retained</x:v>
      </x:c>
    </x:row>
    <x:row r="51" ht="15" hidden="0" customHeight="1">
      <x:c r="A51" s="89" t="str">
        <x:v>R004</x:v>
      </x:c>
      <x:c r="B51" s="89" t="str">
        <x:v>01_vehicles / W5</x:v>
      </x:c>
      <x:c r="C51" s="89" t="str">
        <x:v>Reverse (R)</x:v>
      </x:c>
      <x:c r="D51" s="89" t="str">
        <x:v>Not publicly verified</x:v>
      </x:c>
      <x:c r="E51" s="89" t="str">
        <x:v>No exact-year/trim primary evidence reviewed for this value. No standard-trim inheritance.</x:v>
      </x:c>
      <x:c r="F51" s="89" t="str">
        <x:v>Original workbook / reviewed sources S21-S29</x:v>
      </x:c>
      <x:c r="G51" s="90" t="n">
        <x:v>46288</x:v>
      </x:c>
      <x:c r="H51" s="89" t="str">
        <x:v>UNRESOLVED or withdrawn from active field; historical assertion retained</x:v>
      </x:c>
    </x:row>
    <x:row r="52" ht="39.599998474121094" hidden="0" customHeight="1">
      <x:c r="A52" s="89" t="str">
        <x:v>R005</x:v>
      </x:c>
      <x:c r="B52" s="89" t="str">
        <x:v>01_vehicles / AF5</x:v>
      </x:c>
      <x:c r="C52" s="89" t="str">
        <x:v>~13.5-14.5 at idle; dual-mode (charge ~14.4-14.5 / economy ~12.4-12.9)</x:v>
      </x:c>
      <x:c r="D52" s="89" t="str">
        <x:v>Not publicly verified</x:v>
      </x:c>
      <x:c r="E52" s="89" t="str">
        <x:v>No exact-year/trim primary evidence reviewed for this value. No standard-trim inheritance.</x:v>
      </x:c>
      <x:c r="F52" s="89" t="str">
        <x:v>Original workbook / reviewed sources S21-S29</x:v>
      </x:c>
      <x:c r="G52" s="90" t="n">
        <x:v>46288</x:v>
      </x:c>
      <x:c r="H52" s="89" t="str">
        <x:v>UNRESOLVED or withdrawn from active field; historical assertion retained</x:v>
      </x:c>
    </x:row>
    <x:row r="53" ht="39.599998474121094" hidden="0" customHeight="1">
      <x:c r="A53" s="89" t="str">
        <x:v>R006</x:v>
      </x:c>
      <x:c r="B53" s="89" t="str">
        <x:v>01_vehicles / AG5</x:v>
      </x:c>
      <x:c r="C53" s="89" t="str">
        <x:v>Internal alternator regulator, PCM-controlled via ELD (dual-mode)</x:v>
      </x:c>
      <x:c r="D53" s="89" t="str">
        <x:v>Not publicly verified</x:v>
      </x:c>
      <x:c r="E53" s="89" t="str">
        <x:v>No exact-year/trim primary evidence reviewed for this value. No standard-trim inheritance.</x:v>
      </x:c>
      <x:c r="F53" s="89" t="str">
        <x:v>Original workbook / reviewed sources S21-S29</x:v>
      </x:c>
      <x:c r="G53" s="90" t="n">
        <x:v>46288</x:v>
      </x:c>
      <x:c r="H53" s="89" t="str">
        <x:v>UNRESOLVED or withdrawn from active field; historical assertion retained</x:v>
      </x:c>
    </x:row>
    <x:row r="54" ht="52.79999923706055" hidden="0" customHeight="1">
      <x:c r="A54" s="89" t="str">
        <x:v>R007</x:v>
      </x:c>
      <x:c r="B54" s="89" t="str">
        <x:v>01_vehicles / AI5</x:v>
      </x:c>
      <x:c r="C54" s="89" t="str">
        <x:v>Not publicly verified (owner's-manual fuse chart is authoritative; 9th-gen owners cite a ~100A main fuse)</x:v>
      </x:c>
      <x:c r="D54" s="89" t="str">
        <x:v>Not publicly verified</x:v>
      </x:c>
      <x:c r="E54" s="89" t="str">
        <x:v>No exact-year/trim primary evidence reviewed for this value. No standard-trim inheritance.</x:v>
      </x:c>
      <x:c r="F54" s="89" t="str">
        <x:v>Original workbook / reviewed sources S21-S29</x:v>
      </x:c>
      <x:c r="G54" s="90" t="n">
        <x:v>46288</x:v>
      </x:c>
      <x:c r="H54" s="89" t="str">
        <x:v>UNRESOLVED or withdrawn from active field; historical assertion retained</x:v>
      </x:c>
    </x:row>
    <x:row r="55" ht="118.80000305175781" hidden="0" customHeight="1">
      <x:c r="A55" s="89" t="str">
        <x:v>R008</x:v>
      </x:c>
      <x:c r="B55" s="89" t="str">
        <x:v>01_vehicles / AJ5</x:v>
      </x:c>
      <x:c r="C55" s="89" t="str">
        <x:v>Computer-controlled dual-mode charging: an Electrical Load Detector (ELD) in the underhood fuse box lets the PCM switch the alternator between high and low output for fuel economy. Honda service literature advises an OEM or quality remanufactured alternator.</x:v>
      </x:c>
      <x:c r="D55" s="89" t="str">
        <x:v>Charging strategy and setpoints require exact-year/trim evidence. No standard-trim inheritance.</x:v>
      </x:c>
      <x:c r="E55" s="89" t="str">
        <x:v>Generic charging claim withdrawn pending exact application evidence.</x:v>
      </x:c>
      <x:c r="F55" s="89" t="str">
        <x:v>Original workbook / reviewed sources S21-S29</x:v>
      </x:c>
      <x:c r="G55" s="90" t="n">
        <x:v>46288</x:v>
      </x:c>
      <x:c r="H55" s="89" t="str">
        <x:v>UNRESOLVED or withdrawn from active field; historical assertion retained</x:v>
      </x:c>
    </x:row>
    <x:row r="56" ht="105.5999984741211" hidden="0" customHeight="1">
      <x:c r="A56" s="89" t="str">
        <x:v>R009</x:v>
      </x:c>
      <x:c r="B56" s="89" t="str">
        <x:v>01_vehicles / AK5</x:v>
      </x:c>
      <x:c r="C56" s="89" t="str">
        <x:v>Performance trim. Standard sources point to 51R, but at least one guide claims Si/Type R need a larger, higher-CCA case - Si-specific OE CCA is not consistently published. Do not assume the LX 51R/CCA figures apply. VIN-verify.</x:v>
      </x:c>
      <x:c r="D56" s="89" t="str">
        <x:v>Separate performance configuration. Standard-trim battery specifications must not be applied. See source audit and battery reference.</x:v>
      </x:c>
      <x:c r="E56" s="89" t="str">
        <x:v>Unverified higher-capacity/larger-case assertions are not fitment evidence.</x:v>
      </x:c>
      <x:c r="F56" s="89" t="str">
        <x:v>Original workbook / reviewed sources S21-S29</x:v>
      </x:c>
      <x:c r="G56" s="90" t="n">
        <x:v>46288</x:v>
      </x:c>
      <x:c r="H56" s="89" t="str">
        <x:v>UNRESOLVED or withdrawn from active field; historical assertion retained</x:v>
      </x:c>
    </x:row>
    <x:row r="57" ht="26.399999618530273" hidden="0" customHeight="1">
      <x:c r="A57" s="89" t="str">
        <x:v>R010</x:v>
      </x:c>
      <x:c r="B57" s="89" t="str">
        <x:v>01_vehicles / AP5</x:v>
      </x:c>
      <x:c r="C57" s="89" t="str">
        <x:v>Conflicting sources - VIN-verify</x:v>
      </x:c>
      <x:c r="D57" s="89" t="str">
        <x:v>Unverified performance specifications; catalog candidates only</x:v>
      </x:c>
      <x:c r="E57" s="89" t="str">
        <x:v>Previous status overstated the verified scope.</x:v>
      </x:c>
      <x:c r="F57" s="89" t="str">
        <x:v>Original workbook / reviewed sources S21-S29</x:v>
      </x:c>
      <x:c r="G57" s="90" t="n">
        <x:v>46288</x:v>
      </x:c>
      <x:c r="H57" s="89" t="str">
        <x:v>UNRESOLVED or withdrawn from active field; historical assertion retained</x:v>
      </x:c>
    </x:row>
    <x:row r="58" ht="15" hidden="0" customHeight="1">
      <x:c r="A58" s="89" t="str">
        <x:v>R011</x:v>
      </x:c>
      <x:c r="B58" s="89" t="str">
        <x:v>01_vehicles / T6</x:v>
      </x:c>
      <x:c r="C58" s="89" t="str">
        <x:v>false</x:v>
      </x:c>
      <x:c r="D58" s="89" t="str">
        <x:v>Not publicly verified</x:v>
      </x:c>
      <x:c r="E58" s="89" t="str">
        <x:v>No exact-year/trim primary evidence reviewed for this value. No standard-trim inheritance.</x:v>
      </x:c>
      <x:c r="F58" s="89" t="str">
        <x:v>Original workbook / reviewed sources S21-S29</x:v>
      </x:c>
      <x:c r="G58" s="90" t="n">
        <x:v>46288</x:v>
      </x:c>
      <x:c r="H58" s="89" t="str">
        <x:v>UNRESOLVED or withdrawn from active field; historical assertion retained</x:v>
      </x:c>
    </x:row>
    <x:row r="59" ht="26.399999618530273" hidden="0" customHeight="1">
      <x:c r="A59" s="89" t="str">
        <x:v>R012</x:v>
      </x:c>
      <x:c r="B59" s="89" t="str">
        <x:v>01_vehicles / U6</x:v>
      </x:c>
      <x:c r="C59" s="89" t="str">
        <x:v>47 (H5) or larger - sources conflict (H5/48 vs H6)</x:v>
      </x:c>
      <x:c r="D59" s="89" t="str">
        <x:v>Not publicly verified</x:v>
      </x:c>
      <x:c r="E59" s="89" t="str">
        <x:v>No exact-year/trim primary evidence reviewed for this value. No standard-trim inheritance.</x:v>
      </x:c>
      <x:c r="F59" s="89" t="str">
        <x:v>Original workbook / reviewed sources S21-S29</x:v>
      </x:c>
      <x:c r="G59" s="90" t="n">
        <x:v>46288</x:v>
      </x:c>
      <x:c r="H59" s="89" t="str">
        <x:v>Historical withdrawal superseded: disputed evidence restored to active fields on 2026-09-23; remains unresolved.</x:v>
      </x:c>
    </x:row>
    <x:row r="60" ht="15" hidden="0" customHeight="1">
      <x:c r="A60" s="89" t="str">
        <x:v>R013</x:v>
      </x:c>
      <x:c r="B60" s="89" t="str">
        <x:v>01_vehicles / V6</x:v>
      </x:c>
      <x:c r="C60" s="89" t="str">
        <x:v>AGM/EFB</x:v>
      </x:c>
      <x:c r="D60" s="89" t="str">
        <x:v>Not publicly verified</x:v>
      </x:c>
      <x:c r="E60" s="89" t="str">
        <x:v>No exact-year/trim primary evidence reviewed for this value. No standard-trim inheritance.</x:v>
      </x:c>
      <x:c r="F60" s="89" t="str">
        <x:v>Original workbook / reviewed sources S21-S29</x:v>
      </x:c>
      <x:c r="G60" s="90" t="n">
        <x:v>46288</x:v>
      </x:c>
      <x:c r="H60" s="89" t="str">
        <x:v>UNRESOLVED or withdrawn from active field; historical assertion retained</x:v>
      </x:c>
    </x:row>
    <x:row r="61" ht="15" hidden="0" customHeight="1">
      <x:c r="A61" s="89" t="str">
        <x:v>R014</x:v>
      </x:c>
      <x:c r="B61" s="89" t="str">
        <x:v>01_vehicles / W6</x:v>
      </x:c>
      <x:c r="C61" s="89" t="str">
        <x:v>Reverse (R)</x:v>
      </x:c>
      <x:c r="D61" s="89" t="str">
        <x:v>Not publicly verified</x:v>
      </x:c>
      <x:c r="E61" s="89" t="str">
        <x:v>No exact-year/trim primary evidence reviewed for this value. No standard-trim inheritance.</x:v>
      </x:c>
      <x:c r="F61" s="89" t="str">
        <x:v>Original workbook / reviewed sources S21-S29</x:v>
      </x:c>
      <x:c r="G61" s="90" t="n">
        <x:v>46288</x:v>
      </x:c>
      <x:c r="H61" s="89" t="str">
        <x:v>UNRESOLVED or withdrawn from active field; historical assertion retained</x:v>
      </x:c>
    </x:row>
    <x:row r="62" ht="15" hidden="0" customHeight="1">
      <x:c r="A62" s="89" t="str">
        <x:v>R015</x:v>
      </x:c>
      <x:c r="B62" s="89" t="str">
        <x:v>01_vehicles / Y6</x:v>
      </x:c>
      <x:c r="C62" s="89" t="str">
        <x:v>~600-700 (Firestone)</x:v>
      </x:c>
      <x:c r="D62" s="89" t="str">
        <x:v>Not publicly verified</x:v>
      </x:c>
      <x:c r="E62" s="89" t="str">
        <x:v>No exact-year/trim primary evidence reviewed for this value. No standard-trim inheritance.</x:v>
      </x:c>
      <x:c r="F62" s="89" t="str">
        <x:v>Original workbook / reviewed sources S21-S29</x:v>
      </x:c>
      <x:c r="G62" s="90" t="n">
        <x:v>46288</x:v>
      </x:c>
      <x:c r="H62" s="89" t="str">
        <x:v>Historical withdrawal superseded: disputed evidence restored to active fields on 2026-09-23; remains unresolved.</x:v>
      </x:c>
    </x:row>
    <x:row r="63" ht="39.599998474121094" hidden="0" customHeight="1">
      <x:c r="A63" s="89" t="str">
        <x:v>R016</x:v>
      </x:c>
      <x:c r="B63" s="89" t="str">
        <x:v>01_vehicles / AF6</x:v>
      </x:c>
      <x:c r="C63" s="89" t="str">
        <x:v>~13.5-14.5 at idle; dual-mode (charge ~14.4-14.5 / economy ~12.4-12.9)</x:v>
      </x:c>
      <x:c r="D63" s="89" t="str">
        <x:v>Not publicly verified</x:v>
      </x:c>
      <x:c r="E63" s="89" t="str">
        <x:v>No exact-year/trim primary evidence reviewed for this value. No standard-trim inheritance.</x:v>
      </x:c>
      <x:c r="F63" s="89" t="str">
        <x:v>Original workbook / reviewed sources S21-S29</x:v>
      </x:c>
      <x:c r="G63" s="90" t="n">
        <x:v>46288</x:v>
      </x:c>
      <x:c r="H63" s="89" t="str">
        <x:v>UNRESOLVED or withdrawn from active field; historical assertion retained</x:v>
      </x:c>
    </x:row>
    <x:row r="64" ht="39.599998474121094" hidden="0" customHeight="1">
      <x:c r="A64" s="89" t="str">
        <x:v>R017</x:v>
      </x:c>
      <x:c r="B64" s="89" t="str">
        <x:v>01_vehicles / AG6</x:v>
      </x:c>
      <x:c r="C64" s="89" t="str">
        <x:v>Internal alternator regulator, PCM-controlled via ELD (dual-mode)</x:v>
      </x:c>
      <x:c r="D64" s="89" t="str">
        <x:v>Not publicly verified</x:v>
      </x:c>
      <x:c r="E64" s="89" t="str">
        <x:v>No exact-year/trim primary evidence reviewed for this value. No standard-trim inheritance.</x:v>
      </x:c>
      <x:c r="F64" s="89" t="str">
        <x:v>Original workbook / reviewed sources S21-S29</x:v>
      </x:c>
      <x:c r="G64" s="90" t="n">
        <x:v>46288</x:v>
      </x:c>
      <x:c r="H64" s="89" t="str">
        <x:v>UNRESOLVED or withdrawn from active field; historical assertion retained</x:v>
      </x:c>
    </x:row>
    <x:row r="65" ht="52.79999923706055" hidden="0" customHeight="1">
      <x:c r="A65" s="89" t="str">
        <x:v>R018</x:v>
      </x:c>
      <x:c r="B65" s="89" t="str">
        <x:v>01_vehicles / AI6</x:v>
      </x:c>
      <x:c r="C65" s="89" t="str">
        <x:v>Not publicly verified (owner's-manual fuse chart is authoritative; 9th-gen owners cite a ~100A main fuse)</x:v>
      </x:c>
      <x:c r="D65" s="89" t="str">
        <x:v>Not publicly verified</x:v>
      </x:c>
      <x:c r="E65" s="89" t="str">
        <x:v>No exact-year/trim primary evidence reviewed for this value. No standard-trim inheritance.</x:v>
      </x:c>
      <x:c r="F65" s="89" t="str">
        <x:v>Original workbook / reviewed sources S21-S29</x:v>
      </x:c>
      <x:c r="G65" s="90" t="n">
        <x:v>46288</x:v>
      </x:c>
      <x:c r="H65" s="89" t="str">
        <x:v>UNRESOLVED or withdrawn from active field; historical assertion retained</x:v>
      </x:c>
    </x:row>
    <x:row r="66" ht="118.80000305175781" hidden="0" customHeight="1">
      <x:c r="A66" s="89" t="str">
        <x:v>R019</x:v>
      </x:c>
      <x:c r="B66" s="89" t="str">
        <x:v>01_vehicles / AJ6</x:v>
      </x:c>
      <x:c r="C66" s="89" t="str">
        <x:v>Computer-controlled dual-mode charging: an Electrical Load Detector (ELD) in the underhood fuse box lets the PCM switch the alternator between high and low output for fuel economy. Honda service literature advises an OEM or quality remanufactured alternator.</x:v>
      </x:c>
      <x:c r="D66" s="89" t="str">
        <x:v>Charging strategy and setpoints require exact-year/trim evidence. No standard-trim inheritance.</x:v>
      </x:c>
      <x:c r="E66" s="89" t="str">
        <x:v>Generic charging claim withdrawn pending exact application evidence.</x:v>
      </x:c>
      <x:c r="F66" s="89" t="str">
        <x:v>Original workbook / reviewed sources S21-S29</x:v>
      </x:c>
      <x:c r="G66" s="90" t="n">
        <x:v>46288</x:v>
      </x:c>
      <x:c r="H66" s="89" t="str">
        <x:v>UNRESOLVED or withdrawn from active field; historical assertion retained</x:v>
      </x:c>
    </x:row>
    <x:row r="67" ht="105.5999984741211" hidden="0" customHeight="1">
      <x:c r="A67" s="89" t="str">
        <x:v>R020</x:v>
      </x:c>
      <x:c r="B67" s="89" t="str">
        <x:v>01_vehicles / AK6</x:v>
      </x:c>
      <x:c r="C67" s="89" t="str">
        <x:v>Type R uses a different, higher-CCA battery than standard trims - explicitly do NOT apply the 51R/410-450 CCA standard-trim spec here (req. #10). Sources disagree on the exact group (H5/48 vs H6); CCA ~600-700 per Firestone.</x:v>
      </x:c>
      <x:c r="D67" s="89" t="str">
        <x:v>Separate performance configuration. Standard-trim battery specifications must not be applied. See source audit and battery reference.</x:v>
      </x:c>
      <x:c r="E67" s="89" t="str">
        <x:v>Unverified higher-capacity/larger-case assertions are not fitment evidence.</x:v>
      </x:c>
      <x:c r="F67" s="89" t="str">
        <x:v>Original workbook / reviewed sources S21-S29</x:v>
      </x:c>
      <x:c r="G67" s="90" t="n">
        <x:v>46288</x:v>
      </x:c>
      <x:c r="H67" s="89" t="str">
        <x:v>UNRESOLVED or withdrawn from active field; historical assertion retained</x:v>
      </x:c>
    </x:row>
    <x:row r="68" ht="26.399999618530273" hidden="0" customHeight="1">
      <x:c r="A68" s="89" t="str">
        <x:v>R021</x:v>
      </x:c>
      <x:c r="B68" s="89" t="str">
        <x:v>01_vehicles / AP6</x:v>
      </x:c>
      <x:c r="C68" s="89" t="str">
        <x:v>Conflicting sources - VIN-verify</x:v>
      </x:c>
      <x:c r="D68" s="89" t="str">
        <x:v>Unverified performance specifications; catalog candidates only</x:v>
      </x:c>
      <x:c r="E68" s="89" t="str">
        <x:v>Previous status overstated the verified scope.</x:v>
      </x:c>
      <x:c r="F68" s="89" t="str">
        <x:v>Original workbook / reviewed sources S21-S29</x:v>
      </x:c>
      <x:c r="G68" s="90" t="n">
        <x:v>46288</x:v>
      </x:c>
      <x:c r="H68" s="89" t="str">
        <x:v>UNRESOLVED or withdrawn from active field; historical assertion retained</x:v>
      </x:c>
    </x:row>
    <x:row r="69" ht="15" hidden="0" customHeight="1">
      <x:c r="A69" s="89" t="str">
        <x:v>R022</x:v>
      </x:c>
      <x:c r="B69" s="89" t="str">
        <x:v>01_vehicles / T9</x:v>
      </x:c>
      <x:c r="C69" s="89" t="str">
        <x:v>false</x:v>
      </x:c>
      <x:c r="D69" s="89" t="str">
        <x:v>Not publicly verified</x:v>
      </x:c>
      <x:c r="E69" s="89" t="str">
        <x:v>No exact-year/trim primary evidence reviewed for this value. No standard-trim inheritance.</x:v>
      </x:c>
      <x:c r="F69" s="89" t="str">
        <x:v>Original workbook / reviewed sources S21-S29</x:v>
      </x:c>
      <x:c r="G69" s="90" t="n">
        <x:v>46288</x:v>
      </x:c>
      <x:c r="H69" s="89" t="str">
        <x:v>UNRESOLVED or withdrawn from active field; historical assertion retained</x:v>
      </x:c>
    </x:row>
    <x:row r="70" ht="15" hidden="0" customHeight="1">
      <x:c r="A70" s="89" t="str">
        <x:v>R023</x:v>
      </x:c>
      <x:c r="B70" s="89" t="str">
        <x:v>01_vehicles / U9</x:v>
      </x:c>
      <x:c r="C70" s="89" t="str">
        <x:v>47 (H5)</x:v>
      </x:c>
      <x:c r="D70" s="89" t="str">
        <x:v>Not publicly verified</x:v>
      </x:c>
      <x:c r="E70" s="89" t="str">
        <x:v>No exact-year/trim primary evidence reviewed for this value. No standard-trim inheritance.</x:v>
      </x:c>
      <x:c r="F70" s="89" t="str">
        <x:v>Original workbook / reviewed sources S21-S29</x:v>
      </x:c>
      <x:c r="G70" s="90" t="n">
        <x:v>46288</x:v>
      </x:c>
      <x:c r="H70" s="89" t="str">
        <x:v>Historical withdrawal superseded: disputed evidence restored to active fields on 2026-09-23; remains unresolved.</x:v>
      </x:c>
    </x:row>
    <x:row r="71" ht="15" hidden="0" customHeight="1">
      <x:c r="A71" s="89" t="str">
        <x:v>R024</x:v>
      </x:c>
      <x:c r="B71" s="89" t="str">
        <x:v>01_vehicles / V9</x:v>
      </x:c>
      <x:c r="C71" s="89" t="str">
        <x:v>AGM/EFB</x:v>
      </x:c>
      <x:c r="D71" s="89" t="str">
        <x:v>Not publicly verified</x:v>
      </x:c>
      <x:c r="E71" s="89" t="str">
        <x:v>No exact-year/trim primary evidence reviewed for this value. No standard-trim inheritance.</x:v>
      </x:c>
      <x:c r="F71" s="89" t="str">
        <x:v>Original workbook / reviewed sources S21-S29</x:v>
      </x:c>
      <x:c r="G71" s="90" t="n">
        <x:v>46288</x:v>
      </x:c>
      <x:c r="H71" s="89" t="str">
        <x:v>UNRESOLVED or withdrawn from active field; historical assertion retained</x:v>
      </x:c>
    </x:row>
    <x:row r="72" ht="15" hidden="0" customHeight="1">
      <x:c r="A72" s="89" t="str">
        <x:v>R025</x:v>
      </x:c>
      <x:c r="B72" s="89" t="str">
        <x:v>01_vehicles / W9</x:v>
      </x:c>
      <x:c r="C72" s="89" t="str">
        <x:v>Reverse (R)</x:v>
      </x:c>
      <x:c r="D72" s="89" t="str">
        <x:v>Not publicly verified</x:v>
      </x:c>
      <x:c r="E72" s="89" t="str">
        <x:v>No exact-year/trim primary evidence reviewed for this value. No standard-trim inheritance.</x:v>
      </x:c>
      <x:c r="F72" s="89" t="str">
        <x:v>Original workbook / reviewed sources S21-S29</x:v>
      </x:c>
      <x:c r="G72" s="90" t="n">
        <x:v>46288</x:v>
      </x:c>
      <x:c r="H72" s="89" t="str">
        <x:v>UNRESOLVED or withdrawn from active field; historical assertion retained</x:v>
      </x:c>
    </x:row>
    <x:row r="73" ht="15" hidden="0" customHeight="1">
      <x:c r="A73" s="89" t="str">
        <x:v>R026</x:v>
      </x:c>
      <x:c r="B73" s="89" t="str">
        <x:v>01_vehicles / Y9</x:v>
      </x:c>
      <x:c r="C73" s="89" t="str">
        <x:v>Not publicly verified (Si-specific)</x:v>
      </x:c>
      <x:c r="D73" s="89" t="str">
        <x:v>Not publicly verified</x:v>
      </x:c>
      <x:c r="E73" s="89" t="str">
        <x:v>No exact-year/trim primary evidence reviewed for this value. No standard-trim inheritance.</x:v>
      </x:c>
      <x:c r="F73" s="89" t="str">
        <x:v>Original workbook / reviewed sources S21-S29</x:v>
      </x:c>
      <x:c r="G73" s="90" t="n">
        <x:v>46288</x:v>
      </x:c>
      <x:c r="H73" s="89" t="str">
        <x:v>Historical withdrawal superseded: disputed evidence restored to active fields on 2026-09-23; remains unresolved.</x:v>
      </x:c>
    </x:row>
    <x:row r="74" ht="39.599998474121094" hidden="0" customHeight="1">
      <x:c r="A74" s="89" t="str">
        <x:v>R027</x:v>
      </x:c>
      <x:c r="B74" s="89" t="str">
        <x:v>01_vehicles / AF9</x:v>
      </x:c>
      <x:c r="C74" s="89" t="str">
        <x:v>~13.5-14.5 at idle; dual-mode (charge ~14.4-14.5 / economy ~12.4-12.9)</x:v>
      </x:c>
      <x:c r="D74" s="89" t="str">
        <x:v>Not publicly verified</x:v>
      </x:c>
      <x:c r="E74" s="89" t="str">
        <x:v>No exact-year/trim primary evidence reviewed for this value. No standard-trim inheritance.</x:v>
      </x:c>
      <x:c r="F74" s="89" t="str">
        <x:v>Original workbook / reviewed sources S21-S29</x:v>
      </x:c>
      <x:c r="G74" s="90" t="n">
        <x:v>46288</x:v>
      </x:c>
      <x:c r="H74" s="89" t="str">
        <x:v>UNRESOLVED or withdrawn from active field; historical assertion retained</x:v>
      </x:c>
    </x:row>
    <x:row r="75" ht="39.599998474121094" hidden="0" customHeight="1">
      <x:c r="A75" s="89" t="str">
        <x:v>R028</x:v>
      </x:c>
      <x:c r="B75" s="89" t="str">
        <x:v>01_vehicles / AG9</x:v>
      </x:c>
      <x:c r="C75" s="89" t="str">
        <x:v>Internal alternator regulator, PCM-controlled via ELD (dual-mode)</x:v>
      </x:c>
      <x:c r="D75" s="89" t="str">
        <x:v>Not publicly verified</x:v>
      </x:c>
      <x:c r="E75" s="89" t="str">
        <x:v>No exact-year/trim primary evidence reviewed for this value. No standard-trim inheritance.</x:v>
      </x:c>
      <x:c r="F75" s="89" t="str">
        <x:v>Original workbook / reviewed sources S21-S29</x:v>
      </x:c>
      <x:c r="G75" s="90" t="n">
        <x:v>46288</x:v>
      </x:c>
      <x:c r="H75" s="89" t="str">
        <x:v>UNRESOLVED or withdrawn from active field; historical assertion retained</x:v>
      </x:c>
    </x:row>
    <x:row r="76" ht="52.79999923706055" hidden="0" customHeight="1">
      <x:c r="A76" s="89" t="str">
        <x:v>R029</x:v>
      </x:c>
      <x:c r="B76" s="89" t="str">
        <x:v>01_vehicles / AI9</x:v>
      </x:c>
      <x:c r="C76" s="89" t="str">
        <x:v>Not publicly verified (owner's-manual fuse chart is authoritative; 9th-gen owners cite a ~100A main fuse)</x:v>
      </x:c>
      <x:c r="D76" s="89" t="str">
        <x:v>Not publicly verified</x:v>
      </x:c>
      <x:c r="E76" s="89" t="str">
        <x:v>No exact-year/trim primary evidence reviewed for this value. No standard-trim inheritance.</x:v>
      </x:c>
      <x:c r="F76" s="89" t="str">
        <x:v>Original workbook / reviewed sources S21-S29</x:v>
      </x:c>
      <x:c r="G76" s="90" t="n">
        <x:v>46288</x:v>
      </x:c>
      <x:c r="H76" s="89" t="str">
        <x:v>UNRESOLVED or withdrawn from active field; historical assertion retained</x:v>
      </x:c>
    </x:row>
    <x:row r="77" ht="118.80000305175781" hidden="0" customHeight="1">
      <x:c r="A77" s="89" t="str">
        <x:v>R030</x:v>
      </x:c>
      <x:c r="B77" s="89" t="str">
        <x:v>01_vehicles / AJ9</x:v>
      </x:c>
      <x:c r="C77" s="89" t="str">
        <x:v>Computer-controlled dual-mode charging: an Electrical Load Detector (ELD) in the underhood fuse box lets the PCM switch the alternator between high and low output for fuel economy. Honda service literature advises an OEM or quality remanufactured alternator.</x:v>
      </x:c>
      <x:c r="D77" s="89" t="str">
        <x:v>Charging strategy and setpoints require exact-year/trim evidence. No standard-trim inheritance.</x:v>
      </x:c>
      <x:c r="E77" s="89" t="str">
        <x:v>Generic charging claim withdrawn pending exact application evidence.</x:v>
      </x:c>
      <x:c r="F77" s="89" t="str">
        <x:v>Original workbook / reviewed sources S21-S29</x:v>
      </x:c>
      <x:c r="G77" s="90" t="n">
        <x:v>46288</x:v>
      </x:c>
      <x:c r="H77" s="89" t="str">
        <x:v>UNRESOLVED or withdrawn from active field; historical assertion retained</x:v>
      </x:c>
    </x:row>
    <x:row r="78" ht="66" hidden="0" customHeight="1">
      <x:c r="A78" s="89" t="str">
        <x:v>R031</x:v>
      </x:c>
      <x:c r="B78" s="89" t="str">
        <x:v>01_vehicles / AK9</x:v>
      </x:c>
      <x:c r="C78" s="89" t="str">
        <x:v>Group per Optima ('all Civics H5 from 2022'); Si-specific OE CCA/RC not separately published. Group partially verified, CCA not - VIN-verify.</x:v>
      </x:c>
      <x:c r="D78" s="89" t="str">
        <x:v>Separate performance configuration. Standard-trim battery specifications must not be applied. See source audit and battery reference.</x:v>
      </x:c>
      <x:c r="E78" s="89" t="str">
        <x:v>Unverified higher-capacity/larger-case assertions are not fitment evidence.</x:v>
      </x:c>
      <x:c r="F78" s="89" t="str">
        <x:v>Original workbook / reviewed sources S21-S29</x:v>
      </x:c>
      <x:c r="G78" s="90" t="n">
        <x:v>46288</x:v>
      </x:c>
      <x:c r="H78" s="89" t="str">
        <x:v>UNRESOLVED or withdrawn from active field; historical assertion retained</x:v>
      </x:c>
    </x:row>
    <x:row r="79" ht="26.399999618530273" hidden="0" customHeight="1">
      <x:c r="A79" s="89" t="str">
        <x:v>R032</x:v>
      </x:c>
      <x:c r="B79" s="89" t="str">
        <x:v>01_vehicles / AP9</x:v>
      </x:c>
      <x:c r="C79" s="89" t="str">
        <x:v>Partially verified - see note</x:v>
      </x:c>
      <x:c r="D79" s="89" t="str">
        <x:v>Unverified performance specifications; catalog candidates only</x:v>
      </x:c>
      <x:c r="E79" s="89" t="str">
        <x:v>Previous status overstated the verified scope.</x:v>
      </x:c>
      <x:c r="F79" s="89" t="str">
        <x:v>Original workbook / reviewed sources S21-S29</x:v>
      </x:c>
      <x:c r="G79" s="90" t="n">
        <x:v>46288</x:v>
      </x:c>
      <x:c r="H79" s="89" t="str">
        <x:v>UNRESOLVED or withdrawn from active field; historical assertion retained</x:v>
      </x:c>
    </x:row>
    <x:row r="80" ht="15" hidden="0" customHeight="1">
      <x:c r="A80" s="89" t="str">
        <x:v>R033</x:v>
      </x:c>
      <x:c r="B80" s="89" t="str">
        <x:v>01_vehicles / T10</x:v>
      </x:c>
      <x:c r="C80" s="89" t="str">
        <x:v>false</x:v>
      </x:c>
      <x:c r="D80" s="89" t="str">
        <x:v>Not publicly verified</x:v>
      </x:c>
      <x:c r="E80" s="89" t="str">
        <x:v>No exact-year/trim primary evidence reviewed for this value. No standard-trim inheritance.</x:v>
      </x:c>
      <x:c r="F80" s="89" t="str">
        <x:v>Original workbook / reviewed sources S21-S29</x:v>
      </x:c>
      <x:c r="G80" s="90" t="n">
        <x:v>46288</x:v>
      </x:c>
      <x:c r="H80" s="89" t="str">
        <x:v>UNRESOLVED or withdrawn from active field; historical assertion retained</x:v>
      </x:c>
    </x:row>
    <x:row r="81" ht="26.399999618530273" hidden="0" customHeight="1">
      <x:c r="A81" s="89" t="str">
        <x:v>R034</x:v>
      </x:c>
      <x:c r="B81" s="89" t="str">
        <x:v>01_vehicles / U10</x:v>
      </x:c>
      <x:c r="C81" s="89" t="str">
        <x:v>H5/H6 (higher CCA) - not consistently published</x:v>
      </x:c>
      <x:c r="D81" s="89" t="str">
        <x:v>Not publicly verified</x:v>
      </x:c>
      <x:c r="E81" s="89" t="str">
        <x:v>No exact-year/trim primary evidence reviewed for this value. No standard-trim inheritance.</x:v>
      </x:c>
      <x:c r="F81" s="89" t="str">
        <x:v>Original workbook / reviewed sources S21-S29</x:v>
      </x:c>
      <x:c r="G81" s="90" t="n">
        <x:v>46288</x:v>
      </x:c>
      <x:c r="H81" s="89" t="str">
        <x:v>Historical withdrawal superseded: disputed evidence restored to active fields on 2026-09-23; remains unresolved.</x:v>
      </x:c>
    </x:row>
    <x:row r="82" ht="15" hidden="0" customHeight="1">
      <x:c r="A82" s="89" t="str">
        <x:v>R035</x:v>
      </x:c>
      <x:c r="B82" s="89" t="str">
        <x:v>01_vehicles / V10</x:v>
      </x:c>
      <x:c r="C82" s="89" t="str">
        <x:v>AGM/EFB</x:v>
      </x:c>
      <x:c r="D82" s="89" t="str">
        <x:v>Not publicly verified</x:v>
      </x:c>
      <x:c r="E82" s="89" t="str">
        <x:v>No exact-year/trim primary evidence reviewed for this value. No standard-trim inheritance.</x:v>
      </x:c>
      <x:c r="F82" s="89" t="str">
        <x:v>Original workbook / reviewed sources S21-S29</x:v>
      </x:c>
      <x:c r="G82" s="90" t="n">
        <x:v>46288</x:v>
      </x:c>
      <x:c r="H82" s="89" t="str">
        <x:v>UNRESOLVED or withdrawn from active field; historical assertion retained</x:v>
      </x:c>
    </x:row>
    <x:row r="83" ht="15" hidden="0" customHeight="1">
      <x:c r="A83" s="89" t="str">
        <x:v>R036</x:v>
      </x:c>
      <x:c r="B83" s="89" t="str">
        <x:v>01_vehicles / W10</x:v>
      </x:c>
      <x:c r="C83" s="89" t="str">
        <x:v>Reverse (R)</x:v>
      </x:c>
      <x:c r="D83" s="89" t="str">
        <x:v>Not publicly verified</x:v>
      </x:c>
      <x:c r="E83" s="89" t="str">
        <x:v>No exact-year/trim primary evidence reviewed for this value. No standard-trim inheritance.</x:v>
      </x:c>
      <x:c r="F83" s="89" t="str">
        <x:v>Original workbook / reviewed sources S21-S29</x:v>
      </x:c>
      <x:c r="G83" s="90" t="n">
        <x:v>46288</x:v>
      </x:c>
      <x:c r="H83" s="89" t="str">
        <x:v>UNRESOLVED or withdrawn from active field; historical assertion retained</x:v>
      </x:c>
    </x:row>
    <x:row r="84" ht="39.599998474121094" hidden="0" customHeight="1">
      <x:c r="A84" s="89" t="str">
        <x:v>R037</x:v>
      </x:c>
      <x:c r="B84" s="89" t="str">
        <x:v>01_vehicles / AF10</x:v>
      </x:c>
      <x:c r="C84" s="89" t="str">
        <x:v>~13.5-14.5 at idle; dual-mode (charge ~14.4-14.5 / economy ~12.4-12.9)</x:v>
      </x:c>
      <x:c r="D84" s="89" t="str">
        <x:v>Not publicly verified</x:v>
      </x:c>
      <x:c r="E84" s="89" t="str">
        <x:v>No exact-year/trim primary evidence reviewed for this value. No standard-trim inheritance.</x:v>
      </x:c>
      <x:c r="F84" s="89" t="str">
        <x:v>Original workbook / reviewed sources S21-S29</x:v>
      </x:c>
      <x:c r="G84" s="90" t="n">
        <x:v>46288</x:v>
      </x:c>
      <x:c r="H84" s="89" t="str">
        <x:v>UNRESOLVED or withdrawn from active field; historical assertion retained</x:v>
      </x:c>
    </x:row>
    <x:row r="85" ht="39.599998474121094" hidden="0" customHeight="1">
      <x:c r="A85" s="89" t="str">
        <x:v>R038</x:v>
      </x:c>
      <x:c r="B85" s="89" t="str">
        <x:v>01_vehicles / AG10</x:v>
      </x:c>
      <x:c r="C85" s="89" t="str">
        <x:v>Internal alternator regulator, PCM-controlled via ELD (dual-mode)</x:v>
      </x:c>
      <x:c r="D85" s="89" t="str">
        <x:v>Not publicly verified</x:v>
      </x:c>
      <x:c r="E85" s="89" t="str">
        <x:v>No exact-year/trim primary evidence reviewed for this value. No standard-trim inheritance.</x:v>
      </x:c>
      <x:c r="F85" s="89" t="str">
        <x:v>Original workbook / reviewed sources S21-S29</x:v>
      </x:c>
      <x:c r="G85" s="90" t="n">
        <x:v>46288</x:v>
      </x:c>
      <x:c r="H85" s="89" t="str">
        <x:v>UNRESOLVED or withdrawn from active field; historical assertion retained</x:v>
      </x:c>
    </x:row>
    <x:row r="86" ht="52.79999923706055" hidden="0" customHeight="1">
      <x:c r="A86" s="89" t="str">
        <x:v>R039</x:v>
      </x:c>
      <x:c r="B86" s="89" t="str">
        <x:v>01_vehicles / AI10</x:v>
      </x:c>
      <x:c r="C86" s="89" t="str">
        <x:v>Not publicly verified (owner's-manual fuse chart is authoritative; 9th-gen owners cite a ~100A main fuse)</x:v>
      </x:c>
      <x:c r="D86" s="89" t="str">
        <x:v>Not publicly verified</x:v>
      </x:c>
      <x:c r="E86" s="89" t="str">
        <x:v>No exact-year/trim primary evidence reviewed for this value. No standard-trim inheritance.</x:v>
      </x:c>
      <x:c r="F86" s="89" t="str">
        <x:v>Original workbook / reviewed sources S21-S29</x:v>
      </x:c>
      <x:c r="G86" s="90" t="n">
        <x:v>46288</x:v>
      </x:c>
      <x:c r="H86" s="89" t="str">
        <x:v>UNRESOLVED or withdrawn from active field; historical assertion retained</x:v>
      </x:c>
    </x:row>
    <x:row r="87" ht="118.80000305175781" hidden="0" customHeight="1">
      <x:c r="A87" s="89" t="str">
        <x:v>R040</x:v>
      </x:c>
      <x:c r="B87" s="89" t="str">
        <x:v>01_vehicles / AJ10</x:v>
      </x:c>
      <x:c r="C87" s="89" t="str">
        <x:v>Computer-controlled dual-mode charging: an Electrical Load Detector (ELD) in the underhood fuse box lets the PCM switch the alternator between high and low output for fuel economy. Honda service literature advises an OEM or quality remanufactured alternator.</x:v>
      </x:c>
      <x:c r="D87" s="89" t="str">
        <x:v>Charging strategy and setpoints require exact-year/trim evidence. No standard-trim inheritance.</x:v>
      </x:c>
      <x:c r="E87" s="89" t="str">
        <x:v>Generic charging claim withdrawn pending exact application evidence.</x:v>
      </x:c>
      <x:c r="F87" s="89" t="str">
        <x:v>Original workbook / reviewed sources S21-S29</x:v>
      </x:c>
      <x:c r="G87" s="90" t="n">
        <x:v>46288</x:v>
      </x:c>
      <x:c r="H87" s="89" t="str">
        <x:v>UNRESOLVED or withdrawn from active field; historical assertion retained</x:v>
      </x:c>
    </x:row>
    <x:row r="88" ht="79.19999694824219" hidden="0" customHeight="1">
      <x:c r="A88" s="89" t="str">
        <x:v>R041</x:v>
      </x:c>
      <x:c r="B88" s="89" t="str">
        <x:v>01_vehicles / AK10</x:v>
      </x:c>
      <x:c r="C88" s="89" t="str">
        <x:v>FL5 Type R: performance trim, thin public battery sourcing. Do NOT apply standard-trim spec. Larger/higher-CCA case expected but exact group/CCA not publicly confirmed.</x:v>
      </x:c>
      <x:c r="D88" s="89" t="str">
        <x:v>Separate performance configuration. Standard-trim battery specifications must not be applied. See source audit and battery reference.</x:v>
      </x:c>
      <x:c r="E88" s="89" t="str">
        <x:v>Unverified higher-capacity/larger-case assertions are not fitment evidence.</x:v>
      </x:c>
      <x:c r="F88" s="89" t="str">
        <x:v>Original workbook / reviewed sources S21-S29</x:v>
      </x:c>
      <x:c r="G88" s="90" t="n">
        <x:v>46288</x:v>
      </x:c>
      <x:c r="H88" s="89" t="str">
        <x:v>UNRESOLVED or withdrawn from active field; historical assertion retained</x:v>
      </x:c>
    </x:row>
    <x:row r="89" ht="26.399999618530273" hidden="0" customHeight="1">
      <x:c r="A89" s="89" t="str">
        <x:v>R042</x:v>
      </x:c>
      <x:c r="B89" s="89" t="str">
        <x:v>01_vehicles / AP10</x:v>
      </x:c>
      <x:c r="C89" s="89" t="str">
        <x:v>Not publicly verified</x:v>
      </x:c>
      <x:c r="D89" s="89" t="str">
        <x:v>Unverified performance specifications; catalog candidates only</x:v>
      </x:c>
      <x:c r="E89" s="89" t="str">
        <x:v>Previous status overstated the verified scope.</x:v>
      </x:c>
      <x:c r="F89" s="89" t="str">
        <x:v>Original workbook / reviewed sources S21-S29</x:v>
      </x:c>
      <x:c r="G89" s="90" t="n">
        <x:v>46288</x:v>
      </x:c>
      <x:c r="H89" s="89" t="str">
        <x:v>UNRESOLVED or withdrawn from active field; historical assertion retained</x:v>
      </x:c>
    </x:row>
    <x:row r="90" ht="15" hidden="0" customHeight="1">
      <x:c r="A90" s="89" t="str">
        <x:v>R043</x:v>
      </x:c>
      <x:c r="B90" s="89" t="str">
        <x:v>01_vehicles / AP3</x:v>
      </x:c>
      <x:c r="C90" s="89" t="str">
        <x:v>Verified (multi-source)</x:v>
      </x:c>
      <x:c r="D90" s="89" t="str">
        <x:v>Legacy research; not revalidated in this batch</x:v>
      </x:c>
      <x:c r="E90" s="89" t="str">
        <x:v>Avoid presenting the earlier research as a completed audit.</x:v>
      </x:c>
      <x:c r="F90" s="89" t="str">
        <x:v>Original workbook / reviewed sources S21-S29</x:v>
      </x:c>
      <x:c r="G90" s="90" t="n">
        <x:v>46288</x:v>
      </x:c>
      <x:c r="H90" s="89" t="str">
        <x:v>UNRESOLVED or withdrawn from active field; historical assertion retained</x:v>
      </x:c>
    </x:row>
    <x:row r="91" ht="15" hidden="0" customHeight="1">
      <x:c r="A91" s="89" t="str">
        <x:v>R044</x:v>
      </x:c>
      <x:c r="B91" s="89" t="str">
        <x:v>01_vehicles / AP4</x:v>
      </x:c>
      <x:c r="C91" s="89" t="str">
        <x:v>Verified (multi-source)</x:v>
      </x:c>
      <x:c r="D91" s="89" t="str">
        <x:v>Legacy research; not revalidated in this batch</x:v>
      </x:c>
      <x:c r="E91" s="89" t="str">
        <x:v>Avoid presenting the earlier research as a completed audit.</x:v>
      </x:c>
      <x:c r="F91" s="89" t="str">
        <x:v>Original workbook / reviewed sources S21-S29</x:v>
      </x:c>
      <x:c r="G91" s="90" t="n">
        <x:v>46288</x:v>
      </x:c>
      <x:c r="H91" s="89" t="str">
        <x:v>UNRESOLVED or withdrawn from active field; historical assertion retained</x:v>
      </x:c>
    </x:row>
    <x:row r="92" ht="15" hidden="0" customHeight="1">
      <x:c r="A92" s="89" t="str">
        <x:v>R045</x:v>
      </x:c>
      <x:c r="B92" s="89" t="str">
        <x:v>01_vehicles / AP7</x:v>
      </x:c>
      <x:c r="C92" s="89" t="str">
        <x:v>Conflicting sources - VIN-verify</x:v>
      </x:c>
      <x:c r="D92" s="89" t="str">
        <x:v>Legacy research; not revalidated in this batch</x:v>
      </x:c>
      <x:c r="E92" s="89" t="str">
        <x:v>Avoid presenting the earlier research as a completed audit.</x:v>
      </x:c>
      <x:c r="F92" s="89" t="str">
        <x:v>Original workbook / reviewed sources S21-S29</x:v>
      </x:c>
      <x:c r="G92" s="90" t="n">
        <x:v>46288</x:v>
      </x:c>
      <x:c r="H92" s="89" t="str">
        <x:v>UNRESOLVED or withdrawn from active field; historical assertion retained</x:v>
      </x:c>
    </x:row>
    <x:row r="93" ht="15" hidden="0" customHeight="1">
      <x:c r="A93" s="89" t="str">
        <x:v>R046</x:v>
      </x:c>
      <x:c r="B93" s="89" t="str">
        <x:v>01_vehicles / AP8</x:v>
      </x:c>
      <x:c r="C93" s="89" t="str">
        <x:v>Conflicting sources - VIN-verify</x:v>
      </x:c>
      <x:c r="D93" s="89" t="str">
        <x:v>Legacy research; not revalidated in this batch</x:v>
      </x:c>
      <x:c r="E93" s="89" t="str">
        <x:v>Avoid presenting the earlier research as a completed audit.</x:v>
      </x:c>
      <x:c r="F93" s="89" t="str">
        <x:v>Original workbook / reviewed sources S21-S29</x:v>
      </x:c>
      <x:c r="G93" s="90" t="n">
        <x:v>46288</x:v>
      </x:c>
      <x:c r="H93" s="89" t="str">
        <x:v>UNRESOLVED or withdrawn from active field; historical assertion retained</x:v>
      </x:c>
    </x:row>
    <x:row r="94" ht="39.599998474121094" hidden="0" customHeight="1">
      <x:c r="A94" s="89" t="str">
        <x:v>R047</x:v>
      </x:c>
      <x:c r="B94" s="89" t="str">
        <x:v>01_vehicles / AP11</x:v>
      </x:c>
      <x:c r="C94" s="89" t="str">
        <x:v>HV pack: Verified (OEM catalog + Honda newsroom). 12V aux group/CCA: Not publicly verified.</x:v>
      </x:c>
      <x:c r="D94" s="89" t="str">
        <x:v>Legacy research; not revalidated in this batch</x:v>
      </x:c>
      <x:c r="E94" s="89" t="str">
        <x:v>Avoid presenting the earlier research as a completed audit.</x:v>
      </x:c>
      <x:c r="F94" s="89" t="str">
        <x:v>Original workbook / reviewed sources S21-S29</x:v>
      </x:c>
      <x:c r="G94" s="90" t="n">
        <x:v>46288</x:v>
      </x:c>
      <x:c r="H94" s="89" t="str">
        <x:v>UNRESOLVED or withdrawn from active field; historical assertion retained</x:v>
      </x:c>
    </x:row>
    <x:row r="95" ht="15" hidden="0" customHeight="1">
      <x:c r="A95" s="89" t="str">
        <x:v>R048</x:v>
      </x:c>
      <x:c r="B95" s="89" t="str">
        <x:v>01_vehicles / U11</x:v>
      </x:c>
      <x:c r="C95" s="89" t="str">
        <x:v>H5-class (12V auxiliary)</x:v>
      </x:c>
      <x:c r="D95" s="89" t="str">
        <x:v>Not publicly verified</x:v>
      </x:c>
      <x:c r="E95" s="89" t="str">
        <x:v>H5-class hybrid auxiliary group was not verified in the handoff.</x:v>
      </x:c>
      <x:c r="F95" s="89" t="str">
        <x:v>Original workbook / reviewed sources S21-S29</x:v>
      </x:c>
      <x:c r="G95" s="90" t="n">
        <x:v>46288</x:v>
      </x:c>
      <x:c r="H95" s="89" t="str">
        <x:v>UNRESOLVED or withdrawn from active field; historical assertion retained</x:v>
      </x:c>
    </x:row>
    <x:row r="96" ht="15" hidden="0" customHeight="1">
      <x:c r="A96" s="89" t="str">
        <x:v>R049</x:v>
      </x:c>
      <x:c r="B96" s="89" t="str">
        <x:v>01_vehicles / W11</x:v>
      </x:c>
      <x:c r="C96" s="89" t="str">
        <x:v>Reverse (R)</x:v>
      </x:c>
      <x:c r="D96" s="89" t="str">
        <x:v>Not publicly verified</x:v>
      </x:c>
      <x:c r="E96" s="89" t="str">
        <x:v>Hybrid auxiliary terminal orientation not independently supported.</x:v>
      </x:c>
      <x:c r="F96" s="89" t="str">
        <x:v>Original workbook / reviewed sources S21-S29</x:v>
      </x:c>
      <x:c r="G96" s="90" t="n">
        <x:v>46288</x:v>
      </x:c>
      <x:c r="H96" s="89" t="str">
        <x:v>UNRESOLVED or withdrawn from active field; historical assertion retained</x:v>
      </x:c>
    </x:row>
    <x:row r="97" ht="15" hidden="0" customHeight="1">
      <x:c r="A97" s="89" t="str">
        <x:v>R050</x:v>
      </x:c>
      <x:c r="B97" s="89" t="str">
        <x:v>02_battery_specifications / D4</x:v>
      </x:c>
      <x:c r="C97" s="89" t="str">
        <x:v>2017-2020</x:v>
      </x:c>
      <x:c r="D97" s="89" t="str">
        <x:v>2019</x:v>
      </x:c>
      <x:c r="E97" s="89" t="str">
        <x:v>Narrowed to the year of the linked sample configuration; no generation-wide verification.</x:v>
      </x:c>
      <x:c r="F97" s="89" t="str">
        <x:v>Original workbook / reviewed sources S21-S29</x:v>
      </x:c>
      <x:c r="G97" s="90" t="n">
        <x:v>46288</x:v>
      </x:c>
      <x:c r="H97" s="89" t="str">
        <x:v>UNRESOLVED or withdrawn from active field; historical assertion retained</x:v>
      </x:c>
    </x:row>
    <x:row r="98" ht="52.79999923706055" hidden="0" customHeight="1">
      <x:c r="A98" s="89" t="str">
        <x:v>R051</x:v>
      </x:c>
      <x:c r="B98" s="89" t="str">
        <x:v>02_battery_specifications / J4</x:v>
      </x:c>
      <x:c r="C98" s="89" t="str">
        <x:v>Flooded / EFB (likely, as standard trims); AGM common owner upgrade [basis: platform inference - see notes]</x:v>
      </x:c>
      <x:c r="D98" s="89" t="str">
        <x:v>Not publicly verified</x:v>
      </x:c>
      <x:c r="E98" s="89" t="str">
        <x:v>Unverified performance-trim value; see retained prior assertion.</x:v>
      </x:c>
      <x:c r="F98" s="89" t="str">
        <x:v>Original workbook / reviewed sources S21-S29</x:v>
      </x:c>
      <x:c r="G98" s="90" t="n">
        <x:v>46288</x:v>
      </x:c>
      <x:c r="H98" s="89" t="str">
        <x:v>UNRESOLVED or withdrawn from active field; historical assertion retained</x:v>
      </x:c>
    </x:row>
    <x:row r="99" ht="52.79999923706055" hidden="0" customHeight="1">
      <x:c r="A99" s="89" t="str">
        <x:v>R052</x:v>
      </x:c>
      <x:c r="B99" s="89" t="str">
        <x:v>02_battery_specifications / K4</x:v>
      </x:c>
      <x:c r="C99" s="89" t="str">
        <x:v>Not separately verified for Si. Platform OE battery is 31500-SR1-100M (51R). [OEM - unconfirmed for Si]</x:v>
      </x:c>
      <x:c r="D99" s="89" t="str">
        <x:v>Not publicly verified</x:v>
      </x:c>
      <x:c r="E99" s="89" t="str">
        <x:v>Unverified performance-trim value; see retained prior assertion.</x:v>
      </x:c>
      <x:c r="F99" s="89" t="str">
        <x:v>Original workbook / reviewed sources S21-S29</x:v>
      </x:c>
      <x:c r="G99" s="90" t="n">
        <x:v>46288</x:v>
      </x:c>
      <x:c r="H99" s="89" t="str">
        <x:v>UNRESOLVED or withdrawn from active field; historical assertion retained</x:v>
      </x:c>
    </x:row>
    <x:row r="100" ht="39.599998474121094" hidden="0" customHeight="1">
      <x:c r="A100" s="89" t="str">
        <x:v>R053</x:v>
      </x:c>
      <x:c r="B100" s="89" t="str">
        <x:v>02_battery_specifications / L4</x:v>
      </x:c>
      <x:c r="C100" s="89" t="str">
        <x:v>Group 51R aftermarket (Optima D51R, etc.) if 51R confirmed on the car [verify by label]</x:v>
      </x:c>
      <x:c r="D100" s="89" t="str">
        <x:v>Not publicly verified</x:v>
      </x:c>
      <x:c r="E100" s="89" t="str">
        <x:v>Unverified performance-trim value; see retained prior assertion.</x:v>
      </x:c>
      <x:c r="F100" s="89" t="str">
        <x:v>Original workbook / reviewed sources S21-S29</x:v>
      </x:c>
      <x:c r="G100" s="90" t="n">
        <x:v>46288</x:v>
      </x:c>
      <x:c r="H100" s="89" t="str">
        <x:v>UNRESOLVED or withdrawn from active field; historical assertion retained</x:v>
      </x:c>
    </x:row>
    <x:row r="101" ht="39.599998474121094" hidden="0" customHeight="1">
      <x:c r="A101" s="89" t="str">
        <x:v>R054</x:v>
      </x:c>
      <x:c r="B101" s="89" t="str">
        <x:v>02_battery_specifications / M4</x:v>
      </x:c>
      <x:c r="C101" s="89" t="str">
        <x:v>51R likely - sources conflict (some claim Si needs a larger, higher-CCA case) [unverified]</x:v>
      </x:c>
      <x:c r="D101" s="89" t="str">
        <x:v>Not publicly verified</x:v>
      </x:c>
      <x:c r="E101" s="89" t="str">
        <x:v>Unverified performance-trim value; see retained prior assertion.</x:v>
      </x:c>
      <x:c r="F101" s="89" t="str">
        <x:v>Original workbook / reviewed sources S21-S29</x:v>
      </x:c>
      <x:c r="G101" s="90" t="n">
        <x:v>46288</x:v>
      </x:c>
      <x:c r="H101" s="89" t="str">
        <x:v>Historical withdrawal superseded: disputed evidence restored to active fields on 2026-09-23; remains unresolved.</x:v>
      </x:c>
    </x:row>
    <x:row r="102" ht="26.399999618530273" hidden="0" customHeight="1">
      <x:c r="A102" s="89" t="str">
        <x:v>R055</x:v>
      </x:c>
      <x:c r="B102" s="89" t="str">
        <x:v>02_battery_specifications / P4</x:v>
      </x:c>
      <x:c r="C102" s="89" t="str">
        <x:v>Not publicly verified (Si-specific OE CCA not published)</x:v>
      </x:c>
      <x:c r="D102" s="89" t="str">
        <x:v>Not publicly verified</x:v>
      </x:c>
      <x:c r="E102" s="89" t="str">
        <x:v>Unverified performance-trim value; see retained prior assertion.</x:v>
      </x:c>
      <x:c r="F102" s="89" t="str">
        <x:v>Original workbook / reviewed sources S21-S29</x:v>
      </x:c>
      <x:c r="G102" s="90" t="n">
        <x:v>46288</x:v>
      </x:c>
      <x:c r="H102" s="89" t="str">
        <x:v>Historical withdrawal superseded: disputed evidence restored to active fields on 2026-09-23; remains unresolved.</x:v>
      </x:c>
    </x:row>
    <x:row r="103" ht="26.399999618530273" hidden="0" customHeight="1">
      <x:c r="A103" s="89" t="str">
        <x:v>R056</x:v>
      </x:c>
      <x:c r="B103" s="89" t="str">
        <x:v>02_battery_specifications / W4</x:v>
      </x:c>
      <x:c r="C103" s="89" t="str">
        <x:v>Not specified for lead-acid starting batteries</x:v>
      </x:c>
      <x:c r="D103" s="89" t="str">
        <x:v>Not publicly verified</x:v>
      </x:c>
      <x:c r="E103" s="89" t="str">
        <x:v>Unverified performance-trim value; see retained prior assertion.</x:v>
      </x:c>
      <x:c r="F103" s="89" t="str">
        <x:v>Original workbook / reviewed sources S21-S29</x:v>
      </x:c>
      <x:c r="G103" s="90" t="n">
        <x:v>46288</x:v>
      </x:c>
      <x:c r="H103" s="89" t="str">
        <x:v>UNRESOLVED or withdrawn from active field; historical assertion retained</x:v>
      </x:c>
    </x:row>
    <x:row r="104" ht="26.399999618530273" hidden="0" customHeight="1">
      <x:c r="A104" s="89" t="str">
        <x:v>R057</x:v>
      </x:c>
      <x:c r="B104" s="89" t="str">
        <x:v>02_battery_specifications / X4</x:v>
      </x:c>
      <x:c r="C104" s="89" t="str">
        <x:v>Not specified for lead-acid starting batteries</x:v>
      </x:c>
      <x:c r="D104" s="89" t="str">
        <x:v>Not publicly verified</x:v>
      </x:c>
      <x:c r="E104" s="89" t="str">
        <x:v>Unverified performance-trim value; see retained prior assertion.</x:v>
      </x:c>
      <x:c r="F104" s="89" t="str">
        <x:v>Original workbook / reviewed sources S21-S29</x:v>
      </x:c>
      <x:c r="G104" s="90" t="n">
        <x:v>46288</x:v>
      </x:c>
      <x:c r="H104" s="89" t="str">
        <x:v>UNRESOLVED or withdrawn from active field; historical assertion retained</x:v>
      </x:c>
    </x:row>
    <x:row r="105" ht="26.399999618530273" hidden="0" customHeight="1">
      <x:c r="A105" s="89" t="str">
        <x:v>R058</x:v>
      </x:c>
      <x:c r="B105" s="89" t="str">
        <x:v>02_battery_specifications / Y4</x:v>
      </x:c>
      <x:c r="C105" s="89" t="str">
        <x:v>Not specified for lead-acid starting batteries</x:v>
      </x:c>
      <x:c r="D105" s="89" t="str">
        <x:v>Not publicly verified</x:v>
      </x:c>
      <x:c r="E105" s="89" t="str">
        <x:v>Unverified performance-trim value; see retained prior assertion.</x:v>
      </x:c>
      <x:c r="F105" s="89" t="str">
        <x:v>Original workbook / reviewed sources S21-S29</x:v>
      </x:c>
      <x:c r="G105" s="90" t="n">
        <x:v>46288</x:v>
      </x:c>
      <x:c r="H105" s="89" t="str">
        <x:v>UNRESOLVED or withdrawn from active field; historical assertion retained</x:v>
      </x:c>
    </x:row>
    <x:row r="106" ht="26.399999618530273" hidden="0" customHeight="1">
      <x:c r="A106" s="89" t="str">
        <x:v>R059</x:v>
      </x:c>
      <x:c r="B106" s="89" t="str">
        <x:v>02_battery_specifications / AA4</x:v>
      </x:c>
      <x:c r="C106" s="89" t="str">
        <x:v>Shallow cycling only (starting battery; not a deep-cycle spec)</x:v>
      </x:c>
      <x:c r="D106" s="89" t="str">
        <x:v>Not publicly verified</x:v>
      </x:c>
      <x:c r="E106" s="89" t="str">
        <x:v>Unverified performance-trim value; see retained prior assertion.</x:v>
      </x:c>
      <x:c r="F106" s="89" t="str">
        <x:v>Original workbook / reviewed sources S21-S29</x:v>
      </x:c>
      <x:c r="G106" s="90" t="n">
        <x:v>46288</x:v>
      </x:c>
      <x:c r="H106" s="89" t="str">
        <x:v>UNRESOLVED or withdrawn from active field; historical assertion retained</x:v>
      </x:c>
    </x:row>
    <x:row r="107" ht="39.599998474121094" hidden="0" customHeight="1">
      <x:c r="A107" s="89" t="str">
        <x:v>R060</x:v>
      </x:c>
      <x:c r="B107" s="89" t="str">
        <x:v>02_battery_specifications / AE4</x:v>
      </x:c>
      <x:c r="C107" s="89" t="str">
        <x:v>~238 x 129 x 223 mm if 51R (BCI) - contingent on confirming the group</x:v>
      </x:c>
      <x:c r="D107" s="89" t="str">
        <x:v>Not publicly verified</x:v>
      </x:c>
      <x:c r="E107" s="89" t="str">
        <x:v>Unverified performance-trim value; see retained prior assertion.</x:v>
      </x:c>
      <x:c r="F107" s="89" t="str">
        <x:v>Original workbook / reviewed sources S21-S29</x:v>
      </x:c>
      <x:c r="G107" s="90" t="n">
        <x:v>46288</x:v>
      </x:c>
      <x:c r="H107" s="89" t="str">
        <x:v>UNRESOLVED or withdrawn from active field; historical assertion retained</x:v>
      </x:c>
    </x:row>
    <x:row r="108" ht="26.399999618530273" hidden="0" customHeight="1">
      <x:c r="A108" s="89" t="str">
        <x:v>R061</x:v>
      </x:c>
      <x:c r="B108" s="89" t="str">
        <x:v>02_battery_specifications / AF4</x:v>
      </x:c>
      <x:c r="C108" s="89" t="str">
        <x:v>~11-14.5 kg if 51R [aftermarket-typical]</x:v>
      </x:c>
      <x:c r="D108" s="89" t="str">
        <x:v>Not publicly verified</x:v>
      </x:c>
      <x:c r="E108" s="89" t="str">
        <x:v>Unverified performance-trim value; see retained prior assertion.</x:v>
      </x:c>
      <x:c r="F108" s="89" t="str">
        <x:v>Original workbook / reviewed sources S21-S29</x:v>
      </x:c>
      <x:c r="G108" s="90" t="n">
        <x:v>46288</x:v>
      </x:c>
      <x:c r="H108" s="89" t="str">
        <x:v>UNRESOLVED or withdrawn from active field; historical assertion retained</x:v>
      </x:c>
    </x:row>
    <x:row r="109" ht="15" hidden="0" customHeight="1">
      <x:c r="A109" s="89" t="str">
        <x:v>R062</x:v>
      </x:c>
      <x:c r="B109" s="89" t="str">
        <x:v>02_battery_specifications / AG4</x:v>
      </x:c>
      <x:c r="C109" s="89" t="str">
        <x:v>Top post, reverse (R) if 51R</x:v>
      </x:c>
      <x:c r="D109" s="89" t="str">
        <x:v>Not publicly verified</x:v>
      </x:c>
      <x:c r="E109" s="89" t="str">
        <x:v>Unverified performance-trim value; see retained prior assertion.</x:v>
      </x:c>
      <x:c r="F109" s="89" t="str">
        <x:v>Original workbook / reviewed sources S21-S29</x:v>
      </x:c>
      <x:c r="G109" s="90" t="n">
        <x:v>46288</x:v>
      </x:c>
      <x:c r="H109" s="89" t="str">
        <x:v>UNRESOLVED or withdrawn from active field; historical assertion retained</x:v>
      </x:c>
    </x:row>
    <x:row r="110" ht="15" hidden="0" customHeight="1">
      <x:c r="A110" s="89" t="str">
        <x:v>R063</x:v>
      </x:c>
      <x:c r="B110" s="89" t="str">
        <x:v>02_battery_specifications / D5</x:v>
      </x:c>
      <x:c r="C110" s="89" t="str">
        <x:v>2017-2021</x:v>
      </x:c>
      <x:c r="D110" s="89" t="str">
        <x:v>2019</x:v>
      </x:c>
      <x:c r="E110" s="89" t="str">
        <x:v>Narrowed to the year of the linked sample configuration; no generation-wide verification.</x:v>
      </x:c>
      <x:c r="F110" s="89" t="str">
        <x:v>Original workbook / reviewed sources S21-S29</x:v>
      </x:c>
      <x:c r="G110" s="90" t="n">
        <x:v>46288</x:v>
      </x:c>
      <x:c r="H110" s="89" t="str">
        <x:v>UNRESOLVED or withdrawn from active field; historical assertion retained</x:v>
      </x:c>
    </x:row>
    <x:row r="111" ht="39.599998474121094" hidden="0" customHeight="1">
      <x:c r="A111" s="89" t="str">
        <x:v>R064</x:v>
      </x:c>
      <x:c r="B111" s="89" t="str">
        <x:v>02_battery_specifications / J5</x:v>
      </x:c>
      <x:c r="C111" s="89" t="str">
        <x:v>AGM / EFB [aftermarket fitment data; OE chemistry not separately confirmed]</x:v>
      </x:c>
      <x:c r="D111" s="89" t="str">
        <x:v>Not publicly verified</x:v>
      </x:c>
      <x:c r="E111" s="89" t="str">
        <x:v>Unverified performance-trim value; see retained prior assertion.</x:v>
      </x:c>
      <x:c r="F111" s="89" t="str">
        <x:v>Original workbook / reviewed sources S21-S29</x:v>
      </x:c>
      <x:c r="G111" s="90" t="n">
        <x:v>46288</x:v>
      </x:c>
      <x:c r="H111" s="89" t="str">
        <x:v>UNRESOLVED or withdrawn from active field; historical assertion retained</x:v>
      </x:c>
    </x:row>
    <x:row r="112" ht="26.399999618530273" hidden="0" customHeight="1">
      <x:c r="A112" s="89" t="str">
        <x:v>R065</x:v>
      </x:c>
      <x:c r="B112" s="89" t="str">
        <x:v>02_battery_specifications / K5</x:v>
      </x:c>
      <x:c r="C112" s="89" t="str">
        <x:v>Not publicly verified (differs from standard-trim 51R)</x:v>
      </x:c>
      <x:c r="D112" s="89" t="str">
        <x:v>Not publicly verified</x:v>
      </x:c>
      <x:c r="E112" s="89" t="str">
        <x:v>Unverified performance-trim value; see retained prior assertion.</x:v>
      </x:c>
      <x:c r="F112" s="89" t="str">
        <x:v>Original workbook / reviewed sources S21-S29</x:v>
      </x:c>
      <x:c r="G112" s="90" t="n">
        <x:v>46288</x:v>
      </x:c>
      <x:c r="H112" s="89" t="str">
        <x:v>UNRESOLVED or withdrawn from active field; historical assertion retained</x:v>
      </x:c>
    </x:row>
    <x:row r="113" ht="39.599998474121094" hidden="0" customHeight="1">
      <x:c r="A113" s="89" t="str">
        <x:v>R066</x:v>
      </x:c>
      <x:c r="B113" s="89" t="str">
        <x:v>02_battery_specifications / L5</x:v>
      </x:c>
      <x:c r="C113" s="89" t="str">
        <x:v>Group 47 (H5) / Group 48 aftermarket (e.g. Bosch S6-47, Duralast H5) [verify by label]</x:v>
      </x:c>
      <x:c r="D113" s="89" t="str">
        <x:v>Not publicly verified</x:v>
      </x:c>
      <x:c r="E113" s="89" t="str">
        <x:v>Unverified performance-trim value; see retained prior assertion.</x:v>
      </x:c>
      <x:c r="F113" s="89" t="str">
        <x:v>Original workbook / reviewed sources S21-S29</x:v>
      </x:c>
      <x:c r="G113" s="90" t="n">
        <x:v>46288</x:v>
      </x:c>
      <x:c r="H113" s="89" t="str">
        <x:v>UNRESOLVED or withdrawn from active field; historical assertion retained</x:v>
      </x:c>
    </x:row>
    <x:row r="114" ht="39.599998474121094" hidden="0" customHeight="1">
      <x:c r="A114" s="89" t="str">
        <x:v>R067</x:v>
      </x:c>
      <x:c r="B114" s="89" t="str">
        <x:v>02_battery_specifications / M5</x:v>
      </x:c>
      <x:c r="C114" s="89" t="str">
        <x:v>47 (H5) or larger - sources conflict (H5/48 vs H6) [unverified]</x:v>
      </x:c>
      <x:c r="D114" s="89" t="str">
        <x:v>Not publicly verified</x:v>
      </x:c>
      <x:c r="E114" s="89" t="str">
        <x:v>Unverified performance-trim value; see retained prior assertion.</x:v>
      </x:c>
      <x:c r="F114" s="89" t="str">
        <x:v>Original workbook / reviewed sources S21-S29</x:v>
      </x:c>
      <x:c r="G114" s="90" t="n">
        <x:v>46288</x:v>
      </x:c>
      <x:c r="H114" s="89" t="str">
        <x:v>Historical withdrawal superseded: disputed evidence restored to active fields on 2026-09-23; remains unresolved.</x:v>
      </x:c>
    </x:row>
    <x:row r="115" ht="26.399999618530273" hidden="0" customHeight="1">
      <x:c r="A115" s="89" t="str">
        <x:v>R068</x:v>
      </x:c>
      <x:c r="B115" s="89" t="str">
        <x:v>02_battery_specifications / O5</x:v>
      </x:c>
      <x:c r="C115" s="89" t="str">
        <x:v>~55-60 Ah if group 47 [BCI-typical, contingent]</x:v>
      </x:c>
      <x:c r="D115" s="89" t="str">
        <x:v>Not publicly verified</x:v>
      </x:c>
      <x:c r="E115" s="89" t="str">
        <x:v>Unverified performance-trim value; see retained prior assertion.</x:v>
      </x:c>
      <x:c r="F115" s="89" t="str">
        <x:v>Original workbook / reviewed sources S21-S29</x:v>
      </x:c>
      <x:c r="G115" s="90" t="n">
        <x:v>46288</x:v>
      </x:c>
      <x:c r="H115" s="89" t="str">
        <x:v>UNRESOLVED or withdrawn from active field; historical assertion retained</x:v>
      </x:c>
    </x:row>
    <x:row r="116" ht="39.599998474121094" hidden="0" customHeight="1">
      <x:c r="A116" s="89" t="str">
        <x:v>R069</x:v>
      </x:c>
      <x:c r="B116" s="89" t="str">
        <x:v>02_battery_specifications / P5</x:v>
      </x:c>
      <x:c r="C116" s="89" t="str">
        <x:v>~600-700 CCA (Firestone, performance trim) [retailer/service source]</x:v>
      </x:c>
      <x:c r="D116" s="89" t="str">
        <x:v>Not publicly verified</x:v>
      </x:c>
      <x:c r="E116" s="89" t="str">
        <x:v>Unverified performance-trim value; see retained prior assertion.</x:v>
      </x:c>
      <x:c r="F116" s="89" t="str">
        <x:v>Original workbook / reviewed sources S21-S29</x:v>
      </x:c>
      <x:c r="G116" s="90" t="n">
        <x:v>46288</x:v>
      </x:c>
      <x:c r="H116" s="89" t="str">
        <x:v>Historical withdrawal superseded: disputed evidence restored to active fields on 2026-09-23; remains unresolved.</x:v>
      </x:c>
    </x:row>
    <x:row r="117" ht="26.399999618530273" hidden="0" customHeight="1">
      <x:c r="A117" s="89" t="str">
        <x:v>R070</x:v>
      </x:c>
      <x:c r="B117" s="89" t="str">
        <x:v>02_battery_specifications / R5</x:v>
      </x:c>
      <x:c r="C117" s="89" t="str">
        <x:v>~100-115 min if group 47 [BCI-typical]</x:v>
      </x:c>
      <x:c r="D117" s="89" t="str">
        <x:v>Not publicly verified</x:v>
      </x:c>
      <x:c r="E117" s="89" t="str">
        <x:v>Unverified performance-trim value; see retained prior assertion.</x:v>
      </x:c>
      <x:c r="F117" s="89" t="str">
        <x:v>Original workbook / reviewed sources S21-S29</x:v>
      </x:c>
      <x:c r="G117" s="90" t="n">
        <x:v>46288</x:v>
      </x:c>
      <x:c r="H117" s="89" t="str">
        <x:v>UNRESOLVED or withdrawn from active field; historical assertion retained</x:v>
      </x:c>
    </x:row>
    <x:row r="118" ht="26.399999618530273" hidden="0" customHeight="1">
      <x:c r="A118" s="89" t="str">
        <x:v>R071</x:v>
      </x:c>
      <x:c r="B118" s="89" t="str">
        <x:v>02_battery_specifications / W5</x:v>
      </x:c>
      <x:c r="C118" s="89" t="str">
        <x:v>Not specified for lead-acid starting batteries</x:v>
      </x:c>
      <x:c r="D118" s="89" t="str">
        <x:v>Not publicly verified</x:v>
      </x:c>
      <x:c r="E118" s="89" t="str">
        <x:v>Unverified performance-trim value; see retained prior assertion.</x:v>
      </x:c>
      <x:c r="F118" s="89" t="str">
        <x:v>Original workbook / reviewed sources S21-S29</x:v>
      </x:c>
      <x:c r="G118" s="90" t="n">
        <x:v>46288</x:v>
      </x:c>
      <x:c r="H118" s="89" t="str">
        <x:v>UNRESOLVED or withdrawn from active field; historical assertion retained</x:v>
      </x:c>
    </x:row>
    <x:row r="119" ht="26.399999618530273" hidden="0" customHeight="1">
      <x:c r="A119" s="89" t="str">
        <x:v>R072</x:v>
      </x:c>
      <x:c r="B119" s="89" t="str">
        <x:v>02_battery_specifications / X5</x:v>
      </x:c>
      <x:c r="C119" s="89" t="str">
        <x:v>Not specified for lead-acid starting batteries</x:v>
      </x:c>
      <x:c r="D119" s="89" t="str">
        <x:v>Not publicly verified</x:v>
      </x:c>
      <x:c r="E119" s="89" t="str">
        <x:v>Unverified performance-trim value; see retained prior assertion.</x:v>
      </x:c>
      <x:c r="F119" s="89" t="str">
        <x:v>Original workbook / reviewed sources S21-S29</x:v>
      </x:c>
      <x:c r="G119" s="90" t="n">
        <x:v>46288</x:v>
      </x:c>
      <x:c r="H119" s="89" t="str">
        <x:v>UNRESOLVED or withdrawn from active field; historical assertion retained</x:v>
      </x:c>
    </x:row>
    <x:row r="120" ht="26.399999618530273" hidden="0" customHeight="1">
      <x:c r="A120" s="89" t="str">
        <x:v>R073</x:v>
      </x:c>
      <x:c r="B120" s="89" t="str">
        <x:v>02_battery_specifications / Y5</x:v>
      </x:c>
      <x:c r="C120" s="89" t="str">
        <x:v>Not specified for lead-acid starting batteries</x:v>
      </x:c>
      <x:c r="D120" s="89" t="str">
        <x:v>Not publicly verified</x:v>
      </x:c>
      <x:c r="E120" s="89" t="str">
        <x:v>Unverified performance-trim value; see retained prior assertion.</x:v>
      </x:c>
      <x:c r="F120" s="89" t="str">
        <x:v>Original workbook / reviewed sources S21-S29</x:v>
      </x:c>
      <x:c r="G120" s="90" t="n">
        <x:v>46288</x:v>
      </x:c>
      <x:c r="H120" s="89" t="str">
        <x:v>UNRESOLVED or withdrawn from active field; historical assertion retained</x:v>
      </x:c>
    </x:row>
    <x:row r="121" ht="26.399999618530273" hidden="0" customHeight="1">
      <x:c r="A121" s="89" t="str">
        <x:v>R074</x:v>
      </x:c>
      <x:c r="B121" s="89" t="str">
        <x:v>02_battery_specifications / AA5</x:v>
      </x:c>
      <x:c r="C121" s="89" t="str">
        <x:v>Shallow cycling only (starting battery; not a deep-cycle spec)</x:v>
      </x:c>
      <x:c r="D121" s="89" t="str">
        <x:v>Not publicly verified</x:v>
      </x:c>
      <x:c r="E121" s="89" t="str">
        <x:v>Unverified performance-trim value; see retained prior assertion.</x:v>
      </x:c>
      <x:c r="F121" s="89" t="str">
        <x:v>Original workbook / reviewed sources S21-S29</x:v>
      </x:c>
      <x:c r="G121" s="90" t="n">
        <x:v>46288</x:v>
      </x:c>
      <x:c r="H121" s="89" t="str">
        <x:v>UNRESOLVED or withdrawn from active field; historical assertion retained</x:v>
      </x:c>
    </x:row>
    <x:row r="122" ht="39.599998474121094" hidden="0" customHeight="1">
      <x:c r="A122" s="89" t="str">
        <x:v>R075</x:v>
      </x:c>
      <x:c r="B122" s="89" t="str">
        <x:v>02_battery_specifications / AE5</x:v>
      </x:c>
      <x:c r="C122" s="89" t="str">
        <x:v>~242 x 175 x 190 mm if group 47 (BCI) - contingent on confirming the group</x:v>
      </x:c>
      <x:c r="D122" s="89" t="str">
        <x:v>Not publicly verified</x:v>
      </x:c>
      <x:c r="E122" s="89" t="str">
        <x:v>Unverified performance-trim value; see retained prior assertion.</x:v>
      </x:c>
      <x:c r="F122" s="89" t="str">
        <x:v>Original workbook / reviewed sources S21-S29</x:v>
      </x:c>
      <x:c r="G122" s="90" t="n">
        <x:v>46288</x:v>
      </x:c>
      <x:c r="H122" s="89" t="str">
        <x:v>UNRESOLVED or withdrawn from active field; historical assertion retained</x:v>
      </x:c>
    </x:row>
    <x:row r="123" ht="26.399999618530273" hidden="0" customHeight="1">
      <x:c r="A123" s="89" t="str">
        <x:v>R076</x:v>
      </x:c>
      <x:c r="B123" s="89" t="str">
        <x:v>02_battery_specifications / AF5</x:v>
      </x:c>
      <x:c r="C123" s="89" t="str">
        <x:v>~17-20 kg if group 47 (AGM) [BCI-typical]</x:v>
      </x:c>
      <x:c r="D123" s="89" t="str">
        <x:v>Not publicly verified</x:v>
      </x:c>
      <x:c r="E123" s="89" t="str">
        <x:v>Unverified performance-trim value; see retained prior assertion.</x:v>
      </x:c>
      <x:c r="F123" s="89" t="str">
        <x:v>Original workbook / reviewed sources S21-S29</x:v>
      </x:c>
      <x:c r="G123" s="90" t="n">
        <x:v>46288</x:v>
      </x:c>
      <x:c r="H123" s="89" t="str">
        <x:v>UNRESOLVED or withdrawn from active field; historical assertion retained</x:v>
      </x:c>
    </x:row>
    <x:row r="124" ht="26.399999618530273" hidden="0" customHeight="1">
      <x:c r="A124" s="89" t="str">
        <x:v>R077</x:v>
      </x:c>
      <x:c r="B124" s="89" t="str">
        <x:v>02_battery_specifications / AG5</x:v>
      </x:c>
      <x:c r="C124" s="89" t="str">
        <x:v>Top, reverse layout if group 47/H5</x:v>
      </x:c>
      <x:c r="D124" s="89" t="str">
        <x:v>Not publicly verified</x:v>
      </x:c>
      <x:c r="E124" s="89" t="str">
        <x:v>Unverified performance-trim value; see retained prior assertion.</x:v>
      </x:c>
      <x:c r="F124" s="89" t="str">
        <x:v>Original workbook / reviewed sources S21-S29</x:v>
      </x:c>
      <x:c r="G124" s="90" t="n">
        <x:v>46288</x:v>
      </x:c>
      <x:c r="H124" s="89" t="str">
        <x:v>UNRESOLVED or withdrawn from active field; historical assertion retained</x:v>
      </x:c>
    </x:row>
    <x:row r="125" ht="15" hidden="0" customHeight="1">
      <x:c r="A125" s="89" t="str">
        <x:v>R078</x:v>
      </x:c>
      <x:c r="B125" s="89" t="str">
        <x:v>02_battery_specifications / D7</x:v>
      </x:c>
      <x:c r="C125" s="89" t="str">
        <x:v>2022-2025</x:v>
      </x:c>
      <x:c r="D125" s="89" t="str">
        <x:v>2023</x:v>
      </x:c>
      <x:c r="E125" s="89" t="str">
        <x:v>Narrowed to the year of the linked sample configuration; no generation-wide verification.</x:v>
      </x:c>
      <x:c r="F125" s="89" t="str">
        <x:v>Original workbook / reviewed sources S21-S29</x:v>
      </x:c>
      <x:c r="G125" s="90" t="n">
        <x:v>46288</x:v>
      </x:c>
      <x:c r="H125" s="89" t="str">
        <x:v>UNRESOLVED or withdrawn from active field; historical assertion retained</x:v>
      </x:c>
    </x:row>
    <x:row r="126" ht="15" hidden="0" customHeight="1">
      <x:c r="A126" s="89" t="str">
        <x:v>R079</x:v>
      </x:c>
      <x:c r="B126" s="89" t="str">
        <x:v>02_battery_specifications / J7</x:v>
      </x:c>
      <x:c r="C126" s="89" t="str">
        <x:v>EFB / AGM [platform inference]</x:v>
      </x:c>
      <x:c r="D126" s="89" t="str">
        <x:v>Not publicly verified</x:v>
      </x:c>
      <x:c r="E126" s="89" t="str">
        <x:v>Unverified performance-trim value; see retained prior assertion.</x:v>
      </x:c>
      <x:c r="F126" s="89" t="str">
        <x:v>Original workbook / reviewed sources S21-S29</x:v>
      </x:c>
      <x:c r="G126" s="90" t="n">
        <x:v>46288</x:v>
      </x:c>
      <x:c r="H126" s="89" t="str">
        <x:v>UNRESOLVED or withdrawn from active field; historical assertion retained</x:v>
      </x:c>
    </x:row>
    <x:row r="127" ht="39.599998474121094" hidden="0" customHeight="1">
      <x:c r="A127" s="89" t="str">
        <x:v>R080</x:v>
      </x:c>
      <x:c r="B127" s="89" t="str">
        <x:v>02_battery_specifications / K7</x:v>
      </x:c>
      <x:c r="C127" s="89" t="str">
        <x:v>Not separately verified for Si (likely the 31500-TLA family). [OEM - unconfirmed for Si]</x:v>
      </x:c>
      <x:c r="D127" s="89" t="str">
        <x:v>Not publicly verified</x:v>
      </x:c>
      <x:c r="E127" s="89" t="str">
        <x:v>Unverified performance-trim value; see retained prior assertion.</x:v>
      </x:c>
      <x:c r="F127" s="89" t="str">
        <x:v>Original workbook / reviewed sources S21-S29</x:v>
      </x:c>
      <x:c r="G127" s="90" t="n">
        <x:v>46288</x:v>
      </x:c>
      <x:c r="H127" s="89" t="str">
        <x:v>UNRESOLVED or withdrawn from active field; historical assertion retained</x:v>
      </x:c>
    </x:row>
    <x:row r="128" ht="26.399999618530273" hidden="0" customHeight="1">
      <x:c r="A128" s="89" t="str">
        <x:v>R081</x:v>
      </x:c>
      <x:c r="B128" s="89" t="str">
        <x:v>02_battery_specifications / L7</x:v>
      </x:c>
      <x:c r="C128" s="89" t="str">
        <x:v>Group 47 (H5) aftermarket [verify by label]</x:v>
      </x:c>
      <x:c r="D128" s="89" t="str">
        <x:v>Not publicly verified</x:v>
      </x:c>
      <x:c r="E128" s="89" t="str">
        <x:v>Unverified performance-trim value; see retained prior assertion.</x:v>
      </x:c>
      <x:c r="F128" s="89" t="str">
        <x:v>Original workbook / reviewed sources S21-S29</x:v>
      </x:c>
      <x:c r="G128" s="90" t="n">
        <x:v>46288</x:v>
      </x:c>
      <x:c r="H128" s="89" t="str">
        <x:v>UNRESOLVED or withdrawn from active field; historical assertion retained</x:v>
      </x:c>
    </x:row>
    <x:row r="129" ht="26.399999618530273" hidden="0" customHeight="1">
      <x:c r="A129" s="89" t="str">
        <x:v>R082</x:v>
      </x:c>
      <x:c r="B129" s="89" t="str">
        <x:v>02_battery_specifications / M7</x:v>
      </x:c>
      <x:c r="C129" s="89" t="str">
        <x:v>47 (H5) - per 'all Civics H5 from 2022' [group partially verified]</x:v>
      </x:c>
      <x:c r="D129" s="89" t="str">
        <x:v>Not publicly verified</x:v>
      </x:c>
      <x:c r="E129" s="89" t="str">
        <x:v>Unverified performance-trim value; see retained prior assertion.</x:v>
      </x:c>
      <x:c r="F129" s="89" t="str">
        <x:v>Original workbook / reviewed sources S21-S29</x:v>
      </x:c>
      <x:c r="G129" s="90" t="n">
        <x:v>46288</x:v>
      </x:c>
      <x:c r="H129" s="89" t="str">
        <x:v>Historical withdrawal superseded: disputed evidence restored to active fields on 2026-09-23; remains unresolved.</x:v>
      </x:c>
    </x:row>
    <x:row r="130" ht="15" hidden="0" customHeight="1">
      <x:c r="A130" s="89" t="str">
        <x:v>R083</x:v>
      </x:c>
      <x:c r="B130" s="89" t="str">
        <x:v>02_battery_specifications / O7</x:v>
      </x:c>
      <x:c r="C130" s="89" t="str">
        <x:v>~55-60 Ah if H5 [BCI-typical]</x:v>
      </x:c>
      <x:c r="D130" s="89" t="str">
        <x:v>Not publicly verified</x:v>
      </x:c>
      <x:c r="E130" s="89" t="str">
        <x:v>Unverified performance-trim value; see retained prior assertion.</x:v>
      </x:c>
      <x:c r="F130" s="89" t="str">
        <x:v>Original workbook / reviewed sources S21-S29</x:v>
      </x:c>
      <x:c r="G130" s="90" t="n">
        <x:v>46288</x:v>
      </x:c>
      <x:c r="H130" s="89" t="str">
        <x:v>UNRESOLVED or withdrawn from active field; historical assertion retained</x:v>
      </x:c>
    </x:row>
    <x:row r="131" ht="26.399999618530273" hidden="0" customHeight="1">
      <x:c r="A131" s="89" t="str">
        <x:v>R084</x:v>
      </x:c>
      <x:c r="B131" s="89" t="str">
        <x:v>02_battery_specifications / P7</x:v>
      </x:c>
      <x:c r="C131" s="89" t="str">
        <x:v>Not publicly verified (Si-specific OE CCA not published)</x:v>
      </x:c>
      <x:c r="D131" s="89" t="str">
        <x:v>Not publicly verified</x:v>
      </x:c>
      <x:c r="E131" s="89" t="str">
        <x:v>Unverified performance-trim value; see retained prior assertion.</x:v>
      </x:c>
      <x:c r="F131" s="89" t="str">
        <x:v>Original workbook / reviewed sources S21-S29</x:v>
      </x:c>
      <x:c r="G131" s="90" t="n">
        <x:v>46288</x:v>
      </x:c>
      <x:c r="H131" s="89" t="str">
        <x:v>Historical withdrawal superseded: disputed evidence restored to active fields on 2026-09-23; remains unresolved.</x:v>
      </x:c>
    </x:row>
    <x:row r="132" ht="15" hidden="0" customHeight="1">
      <x:c r="A132" s="89" t="str">
        <x:v>R085</x:v>
      </x:c>
      <x:c r="B132" s="89" t="str">
        <x:v>02_battery_specifications / R7</x:v>
      </x:c>
      <x:c r="C132" s="89" t="str">
        <x:v>~100-115 min if H5 [BCI-typical]</x:v>
      </x:c>
      <x:c r="D132" s="89" t="str">
        <x:v>Not publicly verified</x:v>
      </x:c>
      <x:c r="E132" s="89" t="str">
        <x:v>Unverified performance-trim value; see retained prior assertion.</x:v>
      </x:c>
      <x:c r="F132" s="89" t="str">
        <x:v>Original workbook / reviewed sources S21-S29</x:v>
      </x:c>
      <x:c r="G132" s="90" t="n">
        <x:v>46288</x:v>
      </x:c>
      <x:c r="H132" s="89" t="str">
        <x:v>UNRESOLVED or withdrawn from active field; historical assertion retained</x:v>
      </x:c>
    </x:row>
    <x:row r="133" ht="15" hidden="0" customHeight="1">
      <x:c r="A133" s="89" t="str">
        <x:v>R086</x:v>
      </x:c>
      <x:c r="B133" s="89" t="str">
        <x:v>02_battery_specifications / T7</x:v>
      </x:c>
      <x:c r="C133" s="89" t="str">
        <x:v>~5-7 A (group-47 guidance)</x:v>
      </x:c>
      <x:c r="D133" s="89" t="str">
        <x:v>Not publicly verified</x:v>
      </x:c>
      <x:c r="E133" s="89" t="str">
        <x:v>Unverified performance-trim value; see retained prior assertion.</x:v>
      </x:c>
      <x:c r="F133" s="89" t="str">
        <x:v>Original workbook / reviewed sources S21-S29</x:v>
      </x:c>
      <x:c r="G133" s="90" t="n">
        <x:v>46288</x:v>
      </x:c>
      <x:c r="H133" s="89" t="str">
        <x:v>UNRESOLVED or withdrawn from active field; historical assertion retained</x:v>
      </x:c>
    </x:row>
    <x:row r="134" ht="26.399999618530273" hidden="0" customHeight="1">
      <x:c r="A134" s="89" t="str">
        <x:v>R087</x:v>
      </x:c>
      <x:c r="B134" s="89" t="str">
        <x:v>02_battery_specifications / W7</x:v>
      </x:c>
      <x:c r="C134" s="89" t="str">
        <x:v>Not specified for lead-acid starting batteries</x:v>
      </x:c>
      <x:c r="D134" s="89" t="str">
        <x:v>Not publicly verified</x:v>
      </x:c>
      <x:c r="E134" s="89" t="str">
        <x:v>Unverified performance-trim value; see retained prior assertion.</x:v>
      </x:c>
      <x:c r="F134" s="89" t="str">
        <x:v>Original workbook / reviewed sources S21-S29</x:v>
      </x:c>
      <x:c r="G134" s="90" t="n">
        <x:v>46288</x:v>
      </x:c>
      <x:c r="H134" s="89" t="str">
        <x:v>UNRESOLVED or withdrawn from active field; historical assertion retained</x:v>
      </x:c>
    </x:row>
    <x:row r="135" ht="26.399999618530273" hidden="0" customHeight="1">
      <x:c r="A135" s="89" t="str">
        <x:v>R088</x:v>
      </x:c>
      <x:c r="B135" s="89" t="str">
        <x:v>02_battery_specifications / X7</x:v>
      </x:c>
      <x:c r="C135" s="89" t="str">
        <x:v>Not specified for lead-acid starting batteries</x:v>
      </x:c>
      <x:c r="D135" s="89" t="str">
        <x:v>Not publicly verified</x:v>
      </x:c>
      <x:c r="E135" s="89" t="str">
        <x:v>Unverified performance-trim value; see retained prior assertion.</x:v>
      </x:c>
      <x:c r="F135" s="89" t="str">
        <x:v>Original workbook / reviewed sources S21-S29</x:v>
      </x:c>
      <x:c r="G135" s="90" t="n">
        <x:v>46288</x:v>
      </x:c>
      <x:c r="H135" s="89" t="str">
        <x:v>UNRESOLVED or withdrawn from active field; historical assertion retained</x:v>
      </x:c>
    </x:row>
    <x:row r="136" ht="26.399999618530273" hidden="0" customHeight="1">
      <x:c r="A136" s="89" t="str">
        <x:v>R089</x:v>
      </x:c>
      <x:c r="B136" s="89" t="str">
        <x:v>02_battery_specifications / Y7</x:v>
      </x:c>
      <x:c r="C136" s="89" t="str">
        <x:v>Not specified for lead-acid starting batteries</x:v>
      </x:c>
      <x:c r="D136" s="89" t="str">
        <x:v>Not publicly verified</x:v>
      </x:c>
      <x:c r="E136" s="89" t="str">
        <x:v>Unverified performance-trim value; see retained prior assertion.</x:v>
      </x:c>
      <x:c r="F136" s="89" t="str">
        <x:v>Original workbook / reviewed sources S21-S29</x:v>
      </x:c>
      <x:c r="G136" s="90" t="n">
        <x:v>46288</x:v>
      </x:c>
      <x:c r="H136" s="89" t="str">
        <x:v>UNRESOLVED or withdrawn from active field; historical assertion retained</x:v>
      </x:c>
    </x:row>
    <x:row r="137" ht="26.399999618530273" hidden="0" customHeight="1">
      <x:c r="A137" s="89" t="str">
        <x:v>R090</x:v>
      </x:c>
      <x:c r="B137" s="89" t="str">
        <x:v>02_battery_specifications / AA7</x:v>
      </x:c>
      <x:c r="C137" s="89" t="str">
        <x:v>Shallow cycling only (starting battery; not a deep-cycle spec)</x:v>
      </x:c>
      <x:c r="D137" s="89" t="str">
        <x:v>Not publicly verified</x:v>
      </x:c>
      <x:c r="E137" s="89" t="str">
        <x:v>Unverified performance-trim value; see retained prior assertion.</x:v>
      </x:c>
      <x:c r="F137" s="89" t="str">
        <x:v>Original workbook / reviewed sources S21-S29</x:v>
      </x:c>
      <x:c r="G137" s="90" t="n">
        <x:v>46288</x:v>
      </x:c>
      <x:c r="H137" s="89" t="str">
        <x:v>UNRESOLVED or withdrawn from active field; historical assertion retained</x:v>
      </x:c>
    </x:row>
    <x:row r="138" ht="26.399999618530273" hidden="0" customHeight="1">
      <x:c r="A138" s="89" t="str">
        <x:v>R091</x:v>
      </x:c>
      <x:c r="B138" s="89" t="str">
        <x:v>02_battery_specifications / AE7</x:v>
      </x:c>
      <x:c r="C138" s="89" t="str">
        <x:v>~242 x 175 x 190 mm if H5 (BCI)</x:v>
      </x:c>
      <x:c r="D138" s="89" t="str">
        <x:v>Not publicly verified</x:v>
      </x:c>
      <x:c r="E138" s="89" t="str">
        <x:v>Unverified performance-trim value; see retained prior assertion.</x:v>
      </x:c>
      <x:c r="F138" s="89" t="str">
        <x:v>Original workbook / reviewed sources S21-S29</x:v>
      </x:c>
      <x:c r="G138" s="90" t="n">
        <x:v>46288</x:v>
      </x:c>
      <x:c r="H138" s="89" t="str">
        <x:v>UNRESOLVED or withdrawn from active field; historical assertion retained</x:v>
      </x:c>
    </x:row>
    <x:row r="139" ht="15" hidden="0" customHeight="1">
      <x:c r="A139" s="89" t="str">
        <x:v>R092</x:v>
      </x:c>
      <x:c r="B139" s="89" t="str">
        <x:v>02_battery_specifications / AF7</x:v>
      </x:c>
      <x:c r="C139" s="89" t="str">
        <x:v>~17-20 kg if H5 [BCI-typical]</x:v>
      </x:c>
      <x:c r="D139" s="89" t="str">
        <x:v>Not publicly verified</x:v>
      </x:c>
      <x:c r="E139" s="89" t="str">
        <x:v>Unverified performance-trim value; see retained prior assertion.</x:v>
      </x:c>
      <x:c r="F139" s="89" t="str">
        <x:v>Original workbook / reviewed sources S21-S29</x:v>
      </x:c>
      <x:c r="G139" s="90" t="n">
        <x:v>46288</x:v>
      </x:c>
      <x:c r="H139" s="89" t="str">
        <x:v>UNRESOLVED or withdrawn from active field; historical assertion retained</x:v>
      </x:c>
    </x:row>
    <x:row r="140" ht="26.399999618530273" hidden="0" customHeight="1">
      <x:c r="A140" s="89" t="str">
        <x:v>R093</x:v>
      </x:c>
      <x:c r="B140" s="89" t="str">
        <x:v>02_battery_specifications / AG7</x:v>
      </x:c>
      <x:c r="C140" s="89" t="str">
        <x:v>Top, reverse, recessed (LN2) if H5</x:v>
      </x:c>
      <x:c r="D140" s="89" t="str">
        <x:v>Not publicly verified</x:v>
      </x:c>
      <x:c r="E140" s="89" t="str">
        <x:v>Unverified performance-trim value; see retained prior assertion.</x:v>
      </x:c>
      <x:c r="F140" s="89" t="str">
        <x:v>Original workbook / reviewed sources S21-S29</x:v>
      </x:c>
      <x:c r="G140" s="90" t="n">
        <x:v>46288</x:v>
      </x:c>
      <x:c r="H140" s="89" t="str">
        <x:v>UNRESOLVED or withdrawn from active field; historical assertion retained</x:v>
      </x:c>
    </x:row>
    <x:row r="141" ht="15" hidden="0" customHeight="1">
      <x:c r="A141" s="89" t="str">
        <x:v>R094</x:v>
      </x:c>
      <x:c r="B141" s="89" t="str">
        <x:v>02_battery_specifications / D8</x:v>
      </x:c>
      <x:c r="C141" s="89" t="str">
        <x:v>2023-2025</x:v>
      </x:c>
      <x:c r="D141" s="89" t="str">
        <x:v>2024</x:v>
      </x:c>
      <x:c r="E141" s="89" t="str">
        <x:v>Narrowed to the year of the linked sample configuration; no generation-wide verification.</x:v>
      </x:c>
      <x:c r="F141" s="89" t="str">
        <x:v>Original workbook / reviewed sources S21-S29</x:v>
      </x:c>
      <x:c r="G141" s="90" t="n">
        <x:v>46288</x:v>
      </x:c>
      <x:c r="H141" s="89" t="str">
        <x:v>UNRESOLVED or withdrawn from active field; historical assertion retained</x:v>
      </x:c>
    </x:row>
    <x:row r="142" ht="26.399999618530273" hidden="0" customHeight="1">
      <x:c r="A142" s="89" t="str">
        <x:v>R095</x:v>
      </x:c>
      <x:c r="B142" s="89" t="str">
        <x:v>02_battery_specifications / J8</x:v>
      </x:c>
      <x:c r="C142" s="89" t="str">
        <x:v>AGM / EFB [inference; thin sourcing]</x:v>
      </x:c>
      <x:c r="D142" s="89" t="str">
        <x:v>Not publicly verified</x:v>
      </x:c>
      <x:c r="E142" s="89" t="str">
        <x:v>Unverified performance-trim value; see retained prior assertion.</x:v>
      </x:c>
      <x:c r="F142" s="89" t="str">
        <x:v>Original workbook / reviewed sources S21-S29</x:v>
      </x:c>
      <x:c r="G142" s="90" t="n">
        <x:v>46288</x:v>
      </x:c>
      <x:c r="H142" s="89" t="str">
        <x:v>UNRESOLVED or withdrawn from active field; historical assertion retained</x:v>
      </x:c>
    </x:row>
    <x:row r="143" ht="26.399999618530273" hidden="0" customHeight="1">
      <x:c r="A143" s="89" t="str">
        <x:v>R096</x:v>
      </x:c>
      <x:c r="B143" s="89" t="str">
        <x:v>02_battery_specifications / L8</x:v>
      </x:c>
      <x:c r="C143" s="89" t="str">
        <x:v>Group 47/48 (H5/H6) aftermarket [verify by label]</x:v>
      </x:c>
      <x:c r="D143" s="89" t="str">
        <x:v>Not publicly verified</x:v>
      </x:c>
      <x:c r="E143" s="89" t="str">
        <x:v>Unverified performance-trim value; see retained prior assertion.</x:v>
      </x:c>
      <x:c r="F143" s="89" t="str">
        <x:v>Original workbook / reviewed sources S21-S29</x:v>
      </x:c>
      <x:c r="G143" s="90" t="n">
        <x:v>46288</x:v>
      </x:c>
      <x:c r="H143" s="89" t="str">
        <x:v>UNRESOLVED or withdrawn from active field; historical assertion retained</x:v>
      </x:c>
    </x:row>
    <x:row r="144" ht="39.599998474121094" hidden="0" customHeight="1">
      <x:c r="A144" s="89" t="str">
        <x:v>R097</x:v>
      </x:c>
      <x:c r="B144" s="89" t="str">
        <x:v>02_battery_specifications / M8</x:v>
      </x:c>
      <x:c r="C144" s="89" t="str">
        <x:v>H5/H6 (higher CCA) - not consistently published [unverified]</x:v>
      </x:c>
      <x:c r="D144" s="89" t="str">
        <x:v>Not publicly verified</x:v>
      </x:c>
      <x:c r="E144" s="89" t="str">
        <x:v>Unverified performance-trim value; see retained prior assertion.</x:v>
      </x:c>
      <x:c r="F144" s="89" t="str">
        <x:v>Original workbook / reviewed sources S21-S29</x:v>
      </x:c>
      <x:c r="G144" s="90" t="n">
        <x:v>46288</x:v>
      </x:c>
      <x:c r="H144" s="89" t="str">
        <x:v>Historical withdrawal superseded: disputed evidence restored to active fields on 2026-09-23; remains unresolved.</x:v>
      </x:c>
    </x:row>
    <x:row r="145" ht="26.399999618530273" hidden="0" customHeight="1">
      <x:c r="A145" s="89" t="str">
        <x:v>R098</x:v>
      </x:c>
      <x:c r="B145" s="89" t="str">
        <x:v>02_battery_specifications / W8</x:v>
      </x:c>
      <x:c r="C145" s="89" t="str">
        <x:v>Not specified for lead-acid starting batteries</x:v>
      </x:c>
      <x:c r="D145" s="89" t="str">
        <x:v>Not publicly verified</x:v>
      </x:c>
      <x:c r="E145" s="89" t="str">
        <x:v>Unverified performance-trim value; see retained prior assertion.</x:v>
      </x:c>
      <x:c r="F145" s="89" t="str">
        <x:v>Original workbook / reviewed sources S21-S29</x:v>
      </x:c>
      <x:c r="G145" s="90" t="n">
        <x:v>46288</x:v>
      </x:c>
      <x:c r="H145" s="89" t="str">
        <x:v>UNRESOLVED or withdrawn from active field; historical assertion retained</x:v>
      </x:c>
    </x:row>
    <x:row r="146" ht="26.399999618530273" hidden="0" customHeight="1">
      <x:c r="A146" s="89" t="str">
        <x:v>R099</x:v>
      </x:c>
      <x:c r="B146" s="89" t="str">
        <x:v>02_battery_specifications / X8</x:v>
      </x:c>
      <x:c r="C146" s="89" t="str">
        <x:v>Not specified for lead-acid starting batteries</x:v>
      </x:c>
      <x:c r="D146" s="89" t="str">
        <x:v>Not publicly verified</x:v>
      </x:c>
      <x:c r="E146" s="89" t="str">
        <x:v>Unverified performance-trim value; see retained prior assertion.</x:v>
      </x:c>
      <x:c r="F146" s="89" t="str">
        <x:v>Original workbook / reviewed sources S21-S29</x:v>
      </x:c>
      <x:c r="G146" s="90" t="n">
        <x:v>46288</x:v>
      </x:c>
      <x:c r="H146" s="89" t="str">
        <x:v>UNRESOLVED or withdrawn from active field; historical assertion retained</x:v>
      </x:c>
    </x:row>
    <x:row r="147" ht="26.399999618530273" hidden="0" customHeight="1">
      <x:c r="A147" s="89" t="str">
        <x:v>R100</x:v>
      </x:c>
      <x:c r="B147" s="89" t="str">
        <x:v>02_battery_specifications / Y8</x:v>
      </x:c>
      <x:c r="C147" s="89" t="str">
        <x:v>Not specified for lead-acid starting batteries</x:v>
      </x:c>
      <x:c r="D147" s="89" t="str">
        <x:v>Not publicly verified</x:v>
      </x:c>
      <x:c r="E147" s="89" t="str">
        <x:v>Unverified performance-trim value; see retained prior assertion.</x:v>
      </x:c>
      <x:c r="F147" s="89" t="str">
        <x:v>Original workbook / reviewed sources S21-S29</x:v>
      </x:c>
      <x:c r="G147" s="90" t="n">
        <x:v>46288</x:v>
      </x:c>
      <x:c r="H147" s="89" t="str">
        <x:v>UNRESOLVED or withdrawn from active field; historical assertion retained</x:v>
      </x:c>
    </x:row>
    <x:row r="148" ht="26.399999618530273" hidden="0" customHeight="1">
      <x:c r="A148" s="89" t="str">
        <x:v>R101</x:v>
      </x:c>
      <x:c r="B148" s="89" t="str">
        <x:v>02_battery_specifications / AA8</x:v>
      </x:c>
      <x:c r="C148" s="89" t="str">
        <x:v>Shallow cycling only (starting battery; not a deep-cycle spec)</x:v>
      </x:c>
      <x:c r="D148" s="89" t="str">
        <x:v>Not publicly verified</x:v>
      </x:c>
      <x:c r="E148" s="89" t="str">
        <x:v>Unverified performance-trim value; see retained prior assertion.</x:v>
      </x:c>
      <x:c r="F148" s="89" t="str">
        <x:v>Original workbook / reviewed sources S21-S29</x:v>
      </x:c>
      <x:c r="G148" s="90" t="n">
        <x:v>46288</x:v>
      </x:c>
      <x:c r="H148" s="89" t="str">
        <x:v>UNRESOLVED or withdrawn from active field; historical assertion retained</x:v>
      </x:c>
    </x:row>
    <x:row r="149" ht="26.399999618530273" hidden="0" customHeight="1">
      <x:c r="A149" s="89" t="str">
        <x:v>R102</x:v>
      </x:c>
      <x:c r="B149" s="89" t="str">
        <x:v>02_battery_specifications / AG8</x:v>
      </x:c>
      <x:c r="C149" s="89" t="str">
        <x:v>Top, reverse (assumed) - unverified</x:v>
      </x:c>
      <x:c r="D149" s="89" t="str">
        <x:v>Not publicly verified</x:v>
      </x:c>
      <x:c r="E149" s="89" t="str">
        <x:v>Unverified performance-trim value; see retained prior assertion.</x:v>
      </x:c>
      <x:c r="F149" s="89" t="str">
        <x:v>Original workbook / reviewed sources S21-S29</x:v>
      </x:c>
      <x:c r="G149" s="90" t="n">
        <x:v>46288</x:v>
      </x:c>
      <x:c r="H149" s="89" t="str">
        <x:v>UNRESOLVED or withdrawn from active field; historical assertion retained</x:v>
      </x:c>
    </x:row>
    <x:row r="150" ht="26.399999618530273" hidden="0" customHeight="1">
      <x:c r="A150" s="89" t="str">
        <x:v>R103</x:v>
      </x:c>
      <x:c r="B150" s="89" t="str">
        <x:v>02_battery_specifications / W3</x:v>
      </x:c>
      <x:c r="C150" s="89" t="str">
        <x:v>Not specified for lead-acid starting batteries</x:v>
      </x:c>
      <x:c r="D150" s="89" t="str">
        <x:v>Not publicly verified</x:v>
      </x:c>
      <x:c r="E150" s="89" t="str">
        <x:v>Absence in the reviewed source does not prove this quantity is never specified for lead-acid batteries.</x:v>
      </x:c>
      <x:c r="F150" s="89" t="str">
        <x:v>Original workbook / reviewed sources S21-S29</x:v>
      </x:c>
      <x:c r="G150" s="90" t="n">
        <x:v>46288</x:v>
      </x:c>
      <x:c r="H150" s="89" t="str">
        <x:v>UNRESOLVED or withdrawn from active field; historical assertion retained</x:v>
      </x:c>
    </x:row>
    <x:row r="151" ht="26.399999618530273" hidden="0" customHeight="1">
      <x:c r="A151" s="89" t="str">
        <x:v>R104</x:v>
      </x:c>
      <x:c r="B151" s="89" t="str">
        <x:v>02_battery_specifications / X3</x:v>
      </x:c>
      <x:c r="C151" s="89" t="str">
        <x:v>Not specified for lead-acid starting batteries</x:v>
      </x:c>
      <x:c r="D151" s="89" t="str">
        <x:v>Not publicly verified</x:v>
      </x:c>
      <x:c r="E151" s="89" t="str">
        <x:v>Absence in the reviewed source does not prove this quantity is never specified for lead-acid batteries.</x:v>
      </x:c>
      <x:c r="F151" s="89" t="str">
        <x:v>Original workbook / reviewed sources S21-S29</x:v>
      </x:c>
      <x:c r="G151" s="90" t="n">
        <x:v>46288</x:v>
      </x:c>
      <x:c r="H151" s="89" t="str">
        <x:v>UNRESOLVED or withdrawn from active field; historical assertion retained</x:v>
      </x:c>
    </x:row>
    <x:row r="152" ht="26.399999618530273" hidden="0" customHeight="1">
      <x:c r="A152" s="89" t="str">
        <x:v>R105</x:v>
      </x:c>
      <x:c r="B152" s="89" t="str">
        <x:v>02_battery_specifications / Y3</x:v>
      </x:c>
      <x:c r="C152" s="89" t="str">
        <x:v>Not specified for lead-acid starting batteries</x:v>
      </x:c>
      <x:c r="D152" s="89" t="str">
        <x:v>Not publicly verified</x:v>
      </x:c>
      <x:c r="E152" s="89" t="str">
        <x:v>Absence in the reviewed source does not prove this quantity is never specified for lead-acid batteries.</x:v>
      </x:c>
      <x:c r="F152" s="89" t="str">
        <x:v>Original workbook / reviewed sources S21-S29</x:v>
      </x:c>
      <x:c r="G152" s="90" t="n">
        <x:v>46288</x:v>
      </x:c>
      <x:c r="H152" s="89" t="str">
        <x:v>UNRESOLVED or withdrawn from active field; historical assertion retained</x:v>
      </x:c>
    </x:row>
    <x:row r="153" ht="26.399999618530273" hidden="0" customHeight="1">
      <x:c r="A153" s="89" t="str">
        <x:v>R106</x:v>
      </x:c>
      <x:c r="B153" s="89" t="str">
        <x:v>02_battery_specifications / W6</x:v>
      </x:c>
      <x:c r="C153" s="89" t="str">
        <x:v>Not specified for lead-acid starting batteries</x:v>
      </x:c>
      <x:c r="D153" s="89" t="str">
        <x:v>Not publicly verified</x:v>
      </x:c>
      <x:c r="E153" s="89" t="str">
        <x:v>Absence in the reviewed source does not prove this quantity is never specified for lead-acid batteries.</x:v>
      </x:c>
      <x:c r="F153" s="89" t="str">
        <x:v>Original workbook / reviewed sources S21-S29</x:v>
      </x:c>
      <x:c r="G153" s="90" t="n">
        <x:v>46288</x:v>
      </x:c>
      <x:c r="H153" s="89" t="str">
        <x:v>UNRESOLVED or withdrawn from active field; historical assertion retained</x:v>
      </x:c>
    </x:row>
    <x:row r="154" ht="26.399999618530273" hidden="0" customHeight="1">
      <x:c r="A154" s="89" t="str">
        <x:v>R107</x:v>
      </x:c>
      <x:c r="B154" s="89" t="str">
        <x:v>02_battery_specifications / X6</x:v>
      </x:c>
      <x:c r="C154" s="89" t="str">
        <x:v>Not specified for lead-acid starting batteries</x:v>
      </x:c>
      <x:c r="D154" s="89" t="str">
        <x:v>Not publicly verified</x:v>
      </x:c>
      <x:c r="E154" s="89" t="str">
        <x:v>Absence in the reviewed source does not prove this quantity is never specified for lead-acid batteries.</x:v>
      </x:c>
      <x:c r="F154" s="89" t="str">
        <x:v>Original workbook / reviewed sources S21-S29</x:v>
      </x:c>
      <x:c r="G154" s="90" t="n">
        <x:v>46288</x:v>
      </x:c>
      <x:c r="H154" s="89" t="str">
        <x:v>UNRESOLVED or withdrawn from active field; historical assertion retained</x:v>
      </x:c>
    </x:row>
    <x:row r="155" ht="26.399999618530273" hidden="0" customHeight="1">
      <x:c r="A155" s="89" t="str">
        <x:v>R108</x:v>
      </x:c>
      <x:c r="B155" s="89" t="str">
        <x:v>02_battery_specifications / Y6</x:v>
      </x:c>
      <x:c r="C155" s="89" t="str">
        <x:v>Not specified for lead-acid starting batteries</x:v>
      </x:c>
      <x:c r="D155" s="89" t="str">
        <x:v>Not publicly verified</x:v>
      </x:c>
      <x:c r="E155" s="89" t="str">
        <x:v>Absence in the reviewed source does not prove this quantity is never specified for lead-acid batteries.</x:v>
      </x:c>
      <x:c r="F155" s="89" t="str">
        <x:v>Original workbook / reviewed sources S21-S29</x:v>
      </x:c>
      <x:c r="G155" s="90" t="n">
        <x:v>46288</x:v>
      </x:c>
      <x:c r="H155" s="89" t="str">
        <x:v>UNRESOLVED or withdrawn from active field; historical assertion retained</x:v>
      </x:c>
    </x:row>
    <x:row r="156" ht="26.399999618530273" hidden="0" customHeight="1">
      <x:c r="A156" s="89" t="str">
        <x:v>R109</x:v>
      </x:c>
      <x:c r="B156" s="89" t="str">
        <x:v>02_battery_specifications / W9</x:v>
      </x:c>
      <x:c r="C156" s="89" t="str">
        <x:v>Not specified for lead-acid starting batteries</x:v>
      </x:c>
      <x:c r="D156" s="89" t="str">
        <x:v>Not publicly verified</x:v>
      </x:c>
      <x:c r="E156" s="89" t="str">
        <x:v>Absence in the reviewed source does not prove this quantity is never specified for lead-acid batteries.</x:v>
      </x:c>
      <x:c r="F156" s="89" t="str">
        <x:v>Original workbook / reviewed sources S21-S29</x:v>
      </x:c>
      <x:c r="G156" s="90" t="n">
        <x:v>46288</x:v>
      </x:c>
      <x:c r="H156" s="89" t="str">
        <x:v>UNRESOLVED or withdrawn from active field; historical assertion retained</x:v>
      </x:c>
    </x:row>
    <x:row r="157" ht="26.399999618530273" hidden="0" customHeight="1">
      <x:c r="A157" s="89" t="str">
        <x:v>R110</x:v>
      </x:c>
      <x:c r="B157" s="89" t="str">
        <x:v>02_battery_specifications / X9</x:v>
      </x:c>
      <x:c r="C157" s="89" t="str">
        <x:v>Not specified for lead-acid starting batteries</x:v>
      </x:c>
      <x:c r="D157" s="89" t="str">
        <x:v>Not publicly verified</x:v>
      </x:c>
      <x:c r="E157" s="89" t="str">
        <x:v>Absence in the reviewed source does not prove this quantity is never specified for lead-acid batteries.</x:v>
      </x:c>
      <x:c r="F157" s="89" t="str">
        <x:v>Original workbook / reviewed sources S21-S29</x:v>
      </x:c>
      <x:c r="G157" s="90" t="n">
        <x:v>46288</x:v>
      </x:c>
      <x:c r="H157" s="89" t="str">
        <x:v>UNRESOLVED or withdrawn from active field; historical assertion retained</x:v>
      </x:c>
    </x:row>
    <x:row r="158" ht="26.399999618530273" hidden="0" customHeight="1">
      <x:c r="A158" s="89" t="str">
        <x:v>R111</x:v>
      </x:c>
      <x:c r="B158" s="89" t="str">
        <x:v>02_battery_specifications / Y9</x:v>
      </x:c>
      <x:c r="C158" s="89" t="str">
        <x:v>Not specified for lead-acid starting batteries</x:v>
      </x:c>
      <x:c r="D158" s="89" t="str">
        <x:v>Not publicly verified</x:v>
      </x:c>
      <x:c r="E158" s="89" t="str">
        <x:v>Absence in the reviewed source does not prove this quantity is never specified for lead-acid batteries.</x:v>
      </x:c>
      <x:c r="F158" s="89" t="str">
        <x:v>Original workbook / reviewed sources S21-S29</x:v>
      </x:c>
      <x:c r="G158" s="90" t="n">
        <x:v>46288</x:v>
      </x:c>
      <x:c r="H158" s="89" t="str">
        <x:v>UNRESOLVED or withdrawn from active field; historical assertion retained</x:v>
      </x:c>
    </x:row>
    <x:row r="159" ht="15" hidden="0" customHeight="1">
      <x:c r="A159" s="89" t="str">
        <x:v>R112</x:v>
      </x:c>
      <x:c r="B159" s="89" t="str">
        <x:v>Toyota guide p.3 / H6 dimensions</x:v>
      </x:c>
      <x:c r="C159" s="89" t="str">
        <x:v>283 x 175 x 190 mm [OEM] S21</x:v>
      </x:c>
      <x:c r="D159" s="89" t="str">
        <x:v>10 15/16 x 6 7/8 x 7 1/2 in [OEM] S21</x:v>
      </x:c>
      <x:c r="E159" s="89" t="str">
        <x:v>Millimetres and inches disagree within the same source. Preserve both. No fit envelope derived.</x:v>
      </x:c>
      <x:c r="F159" s="89" t="str">
        <x:v>Original workbook / reviewed sources S21-S29</x:v>
      </x:c>
      <x:c r="G159" s="90" t="n">
        <x:v>46288</x:v>
      </x:c>
      <x:c r="H159" s="89" t="str">
        <x:v>UNRESOLVED or withdrawn from active field; historical assertion retained</x:v>
      </x:c>
    </x:row>
    <x:row r="160" ht="15" hidden="0" customHeight="1">
      <x:c r="A160" s="89" t="str">
        <x:v>R113</x:v>
      </x:c>
      <x:c r="B160" s="89" t="str">
        <x:v>Toyota guide p.3 / H5 dimensions</x:v>
      </x:c>
      <x:c r="C160" s="89" t="str">
        <x:v>252 x 175 x 190 mm [OEM] S21</x:v>
      </x:c>
      <x:c r="D160" s="89" t="str">
        <x:v>9 17/32 x 6 57/64 x 7 31/64 in [OEM] S21</x:v>
      </x:c>
      <x:c r="E160" s="89" t="str">
        <x:v>Millimetres and inches disagree within the same source. Preserve both. No fit envelope derived.</x:v>
      </x:c>
      <x:c r="F160" s="89" t="str">
        <x:v>Original workbook / reviewed sources S21-S29</x:v>
      </x:c>
      <x:c r="G160" s="90" t="n">
        <x:v>46288</x:v>
      </x:c>
      <x:c r="H160" s="89" t="str">
        <x:v>UNRESOLVED or withdrawn from active field; historical assertion retained</x:v>
      </x:c>
    </x:row>
    <x:row r="161" ht="15" hidden="0" customHeight="1">
      <x:c r="A161" s="89" t="str">
        <x:v>R114</x:v>
      </x:c>
      <x:c r="B161" s="89" t="str">
        <x:v>Honda source S28 / 2019 Type R listing</x:v>
      </x:c>
      <x:c r="C161" s="89" t="str">
        <x:v>Vehicle selected: Type R 2.0L</x:v>
      </x:c>
      <x:c r="D161" s="89" t="str">
        <x:v>Generic description also says 1.5L turbo</x:v>
      </x:c>
      <x:c r="E161" s="89" t="str">
        <x:v>Catalog candidate only; confirm by VIN. No alternate CCA or group asserted.</x:v>
      </x:c>
      <x:c r="F161" s="89" t="str">
        <x:v>Original workbook / reviewed sources S21-S29</x:v>
      </x:c>
      <x:c r="G161" s="90" t="n">
        <x:v>46288</x:v>
      </x:c>
      <x:c r="H161" s="89" t="str">
        <x:v>UNRESOLVED or withdrawn from active field; historical assertion retained</x:v>
      </x:c>
    </x:row>
    <x:row r="162" ht="15" hidden="0" customHeight="1">
      <x:c r="A162" s="89" t="str">
        <x:v>R115</x:v>
      </x:c>
      <x:c r="B162" s="89" t="str">
        <x:v>Civic fuse research / 2018 / 2023</x:v>
      </x:c>
      <x:c r="C162" s="89" t="str">
        <x:v>Source retrieval incomplete</x:v>
      </x:c>
      <x:c r="D162" s="89" t="str">
        <x:v>Not publicly verified</x:v>
      </x:c>
      <x:c r="E162" s="89" t="str">
        <x:v>Indexed snippets were insufficient to inspect complete fuse charts and qualifiers. No fuse rating populated.</x:v>
      </x:c>
      <x:c r="F162" s="89" t="str">
        <x:v>Original workbook / reviewed sources S21-S29</x:v>
      </x:c>
      <x:c r="G162" s="90" t="n">
        <x:v>46288</x:v>
      </x:c>
      <x:c r="H162" s="89" t="str">
        <x:v>UNRESOLVED or withdrawn from active field; historical assertion retained</x:v>
      </x:c>
    </x:row>
    <x:row r="165">
      <x:c r="A165" t="str">
        <x:v>ID</x:v>
      </x:c>
      <x:c r="B165" t="str">
        <x:v>worksheet / field</x:v>
      </x:c>
      <x:c r="C165" t="str">
        <x:v>prior or competing assertion</x:v>
      </x:c>
      <x:c r="D165" t="str">
        <x:v>new / competing assertion</x:v>
      </x:c>
      <x:c r="E165" t="str">
        <x:v>reason / conflict</x:v>
      </x:c>
      <x:c r="F165" t="str">
        <x:v>basis / source</x:v>
      </x:c>
      <x:c r="G165" t="str">
        <x:v>review date</x:v>
      </x:c>
      <x:c r="H165" t="str">
        <x:v>resolution</x:v>
      </x:c>
    </x:row>
    <x:row r="166" ht="26.399999618530273" hidden="0" customHeight="1">
      <x:c r="A166" s="89" t="str">
        <x:v>C001</x:v>
      </x:c>
      <x:c r="B166" s="89" t="str">
        <x:v>Synthetic isolation</x:v>
      </x:c>
      <x:c r="C166" s="89" t="str">
        <x:v>Real rows mixed into demo sheets</x:v>
      </x:c>
      <x:c r="D166" s="89" t="str">
        <x:v>7 real parts moved to 02_real_parts; 6 assertions to 03_real_fitments. Demo sources are integer 999.</x:v>
      </x:c>
      <x:c r="E166" s="89" t="str">
        <x:v>Numeric real source IDs map to I in this register.</x:v>
      </x:c>
      <x:c r="F166" s="89" t="str">
        <x:v>Correction review</x:v>
      </x:c>
      <x:c r="G166" s="90" t="n">
        <x:v>46288</x:v>
      </x:c>
      <x:c r="H166" s="89" t="str">
        <x:v>Applied</x:v>
      </x:c>
    </x:row>
    <x:row r="167" ht="15" hidden="0" customHeight="1">
      <x:c r="A167" s="89" t="str">
        <x:v>C002</x:v>
      </x:c>
      <x:c r="B167" s="89" t="str">
        <x:v>RAV4 HV coverage</x:v>
      </x:c>
      <x:c r="C167" s="89" t="str">
        <x:v>Missing traction row for 910004</x:v>
      </x:c>
      <x:c r="D167" s="89" t="str">
        <x:v>B-RAV-HV-001 added with OEM pack specifications.</x:v>
      </x:c>
      <x:c r="E167" s="89" t="str">
        <x:v>S29 p.672; HV suppression retained.</x:v>
      </x:c>
      <x:c r="F167" s="89" t="str">
        <x:v>Correction review</x:v>
      </x:c>
      <x:c r="G167" s="90" t="n">
        <x:v>46288</x:v>
      </x:c>
      <x:c r="H167" s="89" t="str">
        <x:v>Applied</x:v>
      </x:c>
    </x:row>
    <x:row r="168" ht="26.399999618530273" hidden="0" customHeight="1">
      <x:c r="A168" s="89" t="str">
        <x:v>C003</x:v>
      </x:c>
      <x:c r="B168" s="89" t="str">
        <x:v>Civic conflicts</x:v>
      </x:c>
      <x:c r="C168" s="89" t="str">
        <x:v>Disputed group/CCA missing from active fields</x:v>
      </x:c>
      <x:c r="D168" s="89" t="str">
        <x:v>B-CIV-002/003/005/006 retain original claims and named competing sources.</x:v>
      </x:c>
      <x:c r="E168" s="89" t="str">
        <x:v>Historical attributions, not freshly reverified; no standard-trim inheritance.</x:v>
      </x:c>
      <x:c r="F168" s="89" t="str">
        <x:v>Correction review</x:v>
      </x:c>
      <x:c r="G168" s="90" t="n">
        <x:v>46288</x:v>
      </x:c>
      <x:c r="H168" s="89" t="str">
        <x:v>Applied</x:v>
      </x:c>
    </x:row>
    <x:row r="169" ht="26.399999618530273" hidden="0" customHeight="1">
      <x:c r="A169" s="89" t="str">
        <x:v>C004</x:v>
      </x:c>
      <x:c r="B169" s="89" t="str">
        <x:v>Status enum</x:v>
      </x:c>
      <x:c r="C169" s="89" t="str">
        <x:v>Freeform status labels</x:v>
      </x:c>
      <x:c r="D169" s="89" t="str">
        <x:v>Controlled five-value enum plus validation; nuance retained in notes.</x:v>
      </x:c>
      <x:c r="E169" s="89" t="str">
        <x:v>AZ battery and AP vehicle.</x:v>
      </x:c>
      <x:c r="F169" s="89" t="str">
        <x:v>Correction review</x:v>
      </x:c>
      <x:c r="G169" s="90" t="n">
        <x:v>46288</x:v>
      </x:c>
      <x:c r="H169" s="89" t="str">
        <x:v>Applied</x:v>
      </x:c>
    </x:row>
    <x:row r="170" ht="26.399999618530273" hidden="0" customHeight="1">
      <x:c r="A170" s="89" t="str">
        <x:v>C005</x:v>
      </x:c>
      <x:c r="B170" s="89" t="str">
        <x:v>Camry product duplicate</x:v>
      </x:c>
      <x:c r="C170" s="89" t="str">
        <x:v>B-CAM-002</x:v>
      </x:c>
      <x:c r="D170" s="89" t="str">
        <x:v>Removed product-only application; candidate in B-CAM-001 L; specifications in P-REAL-004.</x:v>
      </x:c>
      <x:c r="E170" s="89" t="str">
        <x:v>S26; vehicle fitment unverified.</x:v>
      </x:c>
      <x:c r="F170" s="89" t="str">
        <x:v>Correction review</x:v>
      </x:c>
      <x:c r="G170" s="90" t="n">
        <x:v>46288</x:v>
      </x:c>
      <x:c r="H170" s="89" t="str">
        <x:v>Applied</x:v>
      </x:c>
    </x:row>
    <x:row r="171" ht="26.399999618530273" hidden="0" customHeight="1">
      <x:c r="A171" s="89" t="str">
        <x:v>C006</x:v>
      </x:c>
      <x:c r="B171" s="89" t="str">
        <x:v>Join keys</x:v>
      </x:c>
      <x:c r="C171" s="89" t="str">
        <x:v>Sample-reference prose embedded in G</x:v>
      </x:c>
      <x:c r="D171" s="89" t="str">
        <x:v>Raw existing local keys restored; pending placeholders have blank links.</x:v>
      </x:c>
      <x:c r="E171" s="89" t="str">
        <x:v>No claim these are licensed VCdb IDs.</x:v>
      </x:c>
      <x:c r="F171" s="89" t="str">
        <x:v>Correction review</x:v>
      </x:c>
      <x:c r="G171" s="90" t="n">
        <x:v>46288</x:v>
      </x:c>
      <x:c r="H171" s="89" t="str">
        <x:v>Applied</x:v>
      </x:c>
    </x:row>
    <x:row r="172" ht="15" hidden="0" customHeight="1">
      <x:c r="A172" s="89" t="str">
        <x:v>C007</x:v>
      </x:c>
      <x:c r="B172" s="89" t="str">
        <x:v>RAV4 CCA recheck</x:v>
      </x:c>
      <x:c r="C172" s="89" t="str">
        <x:v>Type A 285 / Type B 286</x:v>
      </x:c>
      <x:c r="D172" s="89" t="str">
        <x:v>Both retained exactly as printed.</x:v>
      </x:c>
      <x:c r="E172" s="89" t="str">
        <x:v>S29 p.662 visually checked; no manufacturer correction established.</x:v>
      </x:c>
      <x:c r="F172" s="89" t="str">
        <x:v>Correction review</x:v>
      </x:c>
      <x:c r="G172" s="90" t="n">
        <x:v>46288</x:v>
      </x:c>
      <x:c r="H172" s="89" t="str">
        <x:v>Applied</x:v>
      </x:c>
    </x:row>
    <x:row r="173" ht="26.399999618530273" hidden="0" customHeight="1">
      <x:c r="A173" s="89" t="str">
        <x:v>C008</x:v>
      </x:c>
      <x:c r="B173" s="89" t="str">
        <x:v>Invalid empty formulas</x:v>
      </x:c>
      <x:c r="C173" s="89" t="str">
        <x:v>Seven cells contained empty formula artifacts</x:v>
      </x:c>
      <x:c r="D173" s="89" t="str">
        <x:v>Six T cells restored to unknown; Camry non-HV flag set FALSE.</x:v>
      </x:c>
      <x:c r="E173" s="89" t="str">
        <x:v>Formatting/export integrity repair; source S22 for Camry.</x:v>
      </x:c>
      <x:c r="F173" s="89" t="str">
        <x:v>Correction review</x:v>
      </x:c>
      <x:c r="G173" s="90" t="n">
        <x:v>46288</x:v>
      </x:c>
      <x:c r="H173" s="89" t="str">
        <x:v>Applied</x:v>
      </x:c>
    </x:row>
    <x:row r="175" ht="15" hidden="0" customHeight="1">
      <x:c r="A175" s="89" t="s">
        <x:v>507</x:v>
      </x:c>
      <x:c r="B175" s="89" t="s">
        <x:v>508</x:v>
      </x:c>
      <x:c r="C175" s="89" t="s">
        <x:v>509</x:v>
      </x:c>
      <x:c r="D175" s="89" t="s">
        <x:v>510</x:v>
      </x:c>
      <x:c r="E175" s="89" t="s">
        <x:v>511</x:v>
      </x:c>
      <x:c r="F175" s="89" t="str">
        <x:v>URL</x:v>
      </x:c>
      <x:c r="G175" s="89" t="str">
        <x:v>checked_at</x:v>
      </x:c>
      <x:c r="H175" s="89" t="str">
        <x:v>scope / review status</x:v>
      </x:c>
      <x:c r="I175" s="89" t="str">
        <x:v>data_source_id</x:v>
      </x:c>
    </x:row>
    <x:row r="176" ht="26.399999618530273" hidden="0" customHeight="1">
      <x:c r="A176" s="89" t="str">
        <x:v>S30</x:v>
      </x:c>
      <x:c r="B176" s="89" t="str">
        <x:v>American Honda 2025–26 Civic Hybrid Emergency Response Guide, 26065 (2506), Version 2</x:v>
      </x:c>
      <x:c r="C176" s="89" t="str">
        <x:v>Manufacturer emergency-response guide</x:v>
      </x:c>
      <x:c r="D176" s="89" t="str">
        <x:v>A</x:v>
      </x:c>
      <x:c r="E176" s="89" t="str">
        <x:v>US guide cover identifies 2025–26, Version 2. Page 12: shifting into P/N without 12V availability differs from the historical Canadian V1 attribution.</x:v>
      </x:c>
      <x:c r="F176" s="89" t="str">
        <x:v>https://techinfo.honda.com/Rjanisis/pubs/web/AEG26065.pdf</x:v>
      </x:c>
      <x:c r="G176" s="90" t="n">
        <x:v>46288</x:v>
      </x:c>
      <x:c r="H176" s="89" t="str">
        <x:v>Distinct version and market, not a mirror of S20. Neutral-shift disagreement retained; use the applicable complete OEM procedure.</x:v>
      </x:c>
      <x:c r="I176" s="123" t="n">
        <x:v>30</x:v>
      </x:c>
    </x:row>
    <x:row r="177" ht="26.399999618530273" hidden="0" customHeight="1">
      <x:c r="A177" s="89" t="str">
        <x:v>S31</x:v>
      </x:c>
      <x:c r="B177" s="89" t="str">
        <x:v>Honda Automotive Parts: 31500-SR1-100M product listing</x:v>
      </x:c>
      <x:c r="C177" s="89" t="str">
        <x:v>Dealer catalog listing</x:v>
      </x:c>
      <x:c r="D177" s="89" t="str">
        <x:v>B</x:v>
      </x:c>
      <x:c r="E177" s="89" t="str">
        <x:v>Explicit product description: Group 51R, top terminal, 400 CCA. Does not by itself establish every 2016–2021 Civic fitment.</x:v>
      </x:c>
      <x:c r="F177" s="89" t="str">
        <x:v>https://www.hondaautomotiveparts.com/oem-parts/honda-vehicle-battery-local-pick-up-only-31500sr1100m</x:v>
      </x:c>
      <x:c r="G177" s="90" t="n">
        <x:v>46288</x:v>
      </x:c>
      <x:c r="H177" s="89" t="str">
        <x:v>Product wording checked. Original installed battery and exact vehicle compatibility are separate claims.</x:v>
      </x:c>
      <x:c r="I177" s="123" t="n">
        <x:v>31</x:v>
      </x:c>
    </x:row>
    <x:row r="178" ht="120" customHeight="1">
      <x:c r="A178" s="88" t="str">
        <x:v>S32</x:v>
      </x:c>
      <x:c r="B178" s="88" t="str">
        <x:v>Legacy battery citation: www.autozone.com</x:v>
      </x:c>
      <x:c r="C178" s="88" t="str">
        <x:v>Previously cited webpage; content not rechecked</x:v>
      </x:c>
      <x:c r="D178" s="88" t="str">
        <x:v>D</x:v>
      </x:c>
      <x:c r="E178" s="88" t="str">
        <x:v>Existing citation in 02_battery_specifications row(s) 6. No additional factual support is asserted.</x:v>
      </x:c>
      <x:c r="F178" s="88" t="str">
        <x:v>https://www.autozone.com/batteries-starting-and-charging/battery/honda/civic/2022</x:v>
      </x:c>
      <x:c r="G178" s="105" t="n">
        <x:v>46288</x:v>
      </x:c>
      <x:c r="H178" s="88" t="str">
        <x:v>URL-to-ID registration reviewed on 2026-09-23. Page reachability and source claims were not reverified. Tier D retained pending evidence review. Do not infer exact fitment from this registration.</x:v>
      </x:c>
      <x:c r="I178" s="88" t="n">
        <x:v>32</x:v>
      </x:c>
    </x:row>
    <x:row r="179" ht="120" customHeight="1">
      <x:c r="A179" s="88" t="str">
        <x:v>S33</x:v>
      </x:c>
      <x:c r="B179" s="88" t="str">
        <x:v>Legacy battery citation: www.batteryequivalents.com</x:v>
      </x:c>
      <x:c r="C179" s="88" t="str">
        <x:v>Previously cited webpage; content not rechecked</x:v>
      </x:c>
      <x:c r="D179" s="88" t="str">
        <x:v>D</x:v>
      </x:c>
      <x:c r="E179" s="88" t="str">
        <x:v>Existing citation in 02_battery_specifications row(s) 6. No additional factual support is asserted.</x:v>
      </x:c>
      <x:c r="F179" s="88" t="str">
        <x:v>https://www.batteryequivalents.com/group-47-h5-l2-55l2-batteries.html</x:v>
      </x:c>
      <x:c r="G179" s="105" t="n">
        <x:v>46288</x:v>
      </x:c>
      <x:c r="H179" s="88" t="str">
        <x:v>URL-to-ID registration reviewed on 2026-09-23. Page reachability and source claims were not reverified. Tier D retained pending evidence review. Do not infer exact fitment from this registration.</x:v>
      </x:c>
      <x:c r="I179" s="88" t="n">
        <x:v>33</x:v>
      </x:c>
    </x:row>
    <x:row r="180" ht="120" customHeight="1">
      <x:c r="A180" s="88" t="str">
        <x:v>S34</x:v>
      </x:c>
      <x:c r="B180" s="88" t="str">
        <x:v>Legacy battery citation: www.batteryequivalents.com</x:v>
      </x:c>
      <x:c r="C180" s="88" t="str">
        <x:v>Previously cited webpage; content not rechecked</x:v>
      </x:c>
      <x:c r="D180" s="88" t="str">
        <x:v>D</x:v>
      </x:c>
      <x:c r="E180" s="88" t="str">
        <x:v>Existing citation in 02_battery_specifications row(s) 3. No additional factual support is asserted.</x:v>
      </x:c>
      <x:c r="F180" s="88" t="str">
        <x:v>https://www.batteryequivalents.com/group-51-and-51r-batteries-dimensions-features-and-recommendations.html</x:v>
      </x:c>
      <x:c r="G180" s="105" t="n">
        <x:v>46288</x:v>
      </x:c>
      <x:c r="H180" s="88" t="str">
        <x:v>URL-to-ID registration reviewed on 2026-09-23. Page reachability and source claims were not reverified. Tier D retained pending evidence review. Do not infer exact fitment from this registration.</x:v>
      </x:c>
      <x:c r="I180" s="88" t="n">
        <x:v>34</x:v>
      </x:c>
    </x:row>
    <x:row r="181" ht="120" customHeight="1">
      <x:c r="A181" s="88" t="str">
        <x:v>S35</x:v>
      </x:c>
      <x:c r="B181" s="88" t="str">
        <x:v>Legacy battery citation: www.hondapartsnow.com</x:v>
      </x:c>
      <x:c r="C181" s="88" t="str">
        <x:v>Previously cited webpage; content not rechecked</x:v>
      </x:c>
      <x:c r="D181" s="88" t="str">
        <x:v>D</x:v>
      </x:c>
      <x:c r="E181" s="88" t="str">
        <x:v>Existing citation in 02_battery_specifications row(s) 3. No additional factual support is asserted.</x:v>
      </x:c>
      <x:c r="F181" s="88" t="str">
        <x:v>https://www.hondapartsnow.com/genuine/honda~battery~31500-sr1-a02.html</x:v>
      </x:c>
      <x:c r="G181" s="105" t="n">
        <x:v>46288</x:v>
      </x:c>
      <x:c r="H181" s="88" t="str">
        <x:v>URL-to-ID registration reviewed on 2026-09-23. Page reachability and source claims were not reverified. Tier D retained pending evidence review. Do not infer exact fitment from this registration.</x:v>
      </x:c>
      <x:c r="I181" s="88" t="n">
        <x:v>35</x:v>
      </x:c>
    </x:row>
    <x:row r="182" ht="120" customHeight="1">
      <x:c r="A182" s="88" t="str">
        <x:v>S36</x:v>
      </x:c>
      <x:c r="B182" s="88" t="str">
        <x:v>Legacy battery citation: www.hondapartsnow.com</x:v>
      </x:c>
      <x:c r="C182" s="88" t="str">
        <x:v>Previously cited webpage; content not rechecked</x:v>
      </x:c>
      <x:c r="D182" s="88" t="str">
        <x:v>D</x:v>
      </x:c>
      <x:c r="E182" s="88" t="str">
        <x:v>Existing citation in 02_battery_specifications row(s) 6. No additional factual support is asserted.</x:v>
      </x:c>
      <x:c r="F182" s="88" t="str">
        <x:v>https://www.hondapartsnow.com/genuine/honda~battery~h5efb~31500-tla-efb100m.html</x:v>
      </x:c>
      <x:c r="G182" s="105" t="n">
        <x:v>46288</x:v>
      </x:c>
      <x:c r="H182" s="88" t="str">
        <x:v>URL-to-ID registration reviewed on 2026-09-23. Page reachability and source claims were not reverified. Tier D retained pending evidence review. Do not infer exact fitment from this registration.</x:v>
      </x:c>
      <x:c r="I182" s="88" t="n">
        <x:v>36</x:v>
      </x:c>
    </x:row>
    <x:row r="183" ht="120" customHeight="1">
      <x:c r="A183" s="88" t="str">
        <x:v>S37</x:v>
      </x:c>
      <x:c r="B183" s="88" t="str">
        <x:v>Legacy battery citation: www.redwaypower.com</x:v>
      </x:c>
      <x:c r="C183" s="88" t="str">
        <x:v>Previously cited webpage; content not rechecked</x:v>
      </x:c>
      <x:c r="D183" s="88" t="str">
        <x:v>D</x:v>
      </x:c>
      <x:c r="E183" s="88" t="str">
        <x:v>Existing citation in 02_battery_specifications row(s) 3. No additional factual support is asserted.</x:v>
      </x:c>
      <x:c r="F183" s="88" t="str">
        <x:v>https://www.redwaypower.com/bci-group-51-and-51r-batteries/</x:v>
      </x:c>
      <x:c r="G183" s="105" t="n">
        <x:v>46288</x:v>
      </x:c>
      <x:c r="H183" s="88" t="str">
        <x:v>URL-to-ID registration reviewed on 2026-09-23. Page reachability and source claims were not reverified. Tier D retained pending evidence review. Do not infer exact fitment from this registration.</x:v>
      </x:c>
      <x:c r="I183" s="88" t="n">
        <x:v>37</x:v>
      </x:c>
    </x:row>
    <x:row r="190">
      <x:c r="A190" t="str">
        <x:v>ID</x:v>
      </x:c>
      <x:c r="B190" t="str">
        <x:v>worksheet / field</x:v>
      </x:c>
      <x:c r="C190" t="str">
        <x:v>prior or competing assertion</x:v>
      </x:c>
      <x:c r="D190" t="str">
        <x:v>new / competing assertion</x:v>
      </x:c>
      <x:c r="E190" t="str">
        <x:v>reason / conflict</x:v>
      </x:c>
      <x:c r="F190" t="str">
        <x:v>basis / source</x:v>
      </x:c>
      <x:c r="G190" t="str">
        <x:v>review date</x:v>
      </x:c>
      <x:c r="H190" t="str">
        <x:v>resolution</x:v>
      </x:c>
    </x:row>
    <x:row r="191" ht="52.79999923706055" hidden="0" customHeight="1">
      <x:c r="A191" s="89" t="str">
        <x:v>ABC-001</x:v>
      </x:c>
      <x:c r="B191" s="89" t="str">
        <x:v>01_vehicles!Y3</x:v>
      </x:c>
      <x:c r="C191" s="89" t="str">
        <x:v>~410-450 (OE)</x:v>
      </x:c>
      <x:c r="D191" s="89" t="str">
        <x:v>OEM ~400 CCA [OEM] (S31 dealer product listing for 31500-SR1-100M); aftermarket 51R ~410–450 CCA [aftermarket] (S1 service guidance). Product rating does not establish original installed fitment.</x:v>
      </x:c>
      <x:c r="E191" s="89" t="str">
        <x:v>A1: stale vehicle-sheet CCA classification reconciled to the battery record.</x:v>
      </x:c>
      <x:c r="F191" s="89" t="str">
        <x:v>Group A reconciliation</x:v>
      </x:c>
      <x:c r="G191" s="90" t="n">
        <x:v>46288</x:v>
      </x:c>
      <x:c r="H191" s="89" t="str">
        <x:v>Applied; remaining qualifications retained</x:v>
      </x:c>
    </x:row>
    <x:row r="192" ht="66" hidden="0" customHeight="1">
      <x:c r="A192" s="89" t="str">
        <x:v>ABC-002</x:v>
      </x:c>
      <x:c r="B192" s="89" t="str">
        <x:v>01_vehicles!AQ3</x:v>
      </x:c>
      <x:c r="C192" s="89" t="str">
        <x:v>Legacy research; not revalidated in this batch; </x:v>
      </x:c>
      <x:c r="D192" s="89" t="str">
        <x:v>Legacy research; not revalidated in this batch;  CCA correction: this vehicle sheet was stale; 410–450 was incorrectly labelled OE. B-CIV-001 separates OEM ~400 and aftermarket ~410–450. S31 independently states 400 CCA for the named service product.</x:v>
      </x:c>
      <x:c r="E192" s="89" t="str">
        <x:v>A1: record which sheet was stale.</x:v>
      </x:c>
      <x:c r="F192" s="89" t="str">
        <x:v>Group A reconciliation</x:v>
      </x:c>
      <x:c r="G192" s="90" t="n">
        <x:v>46288</x:v>
      </x:c>
      <x:c r="H192" s="89" t="str">
        <x:v>Applied; remaining qualifications retained</x:v>
      </x:c>
    </x:row>
    <x:row r="193" ht="39.599998474121094" hidden="0" customHeight="1">
      <x:c r="A193" s="89" t="str">
        <x:v>ABC-003</x:v>
      </x:c>
      <x:c r="B193" s="89" t="str">
        <x:v>01_vehicles!AO3</x:v>
      </x:c>
      <x:c r="C193" s="89" t="str">
        <x:v>S1;S2;S3;S4;S8;S14 (battery/alt) - S9;S10;S11;S12;S13 (charging)</x:v>
      </x:c>
      <x:c r="D193" s="89" t="str">
        <x:v>S1;S2;S3;S4;S8;S14 (battery/alt) - S9;S10;S11;S12;S13 (charging) ; S31 (OEM service-product CCA; not blanket fitment)</x:v>
      </x:c>
      <x:c r="E193" s="89" t="str">
        <x:v>A1: precise product provenance.</x:v>
      </x:c>
      <x:c r="F193" s="89" t="str">
        <x:v>Group A reconciliation</x:v>
      </x:c>
      <x:c r="G193" s="90" t="n">
        <x:v>46288</x:v>
      </x:c>
      <x:c r="H193" s="89" t="str">
        <x:v>Applied; remaining qualifications retained</x:v>
      </x:c>
    </x:row>
    <x:row r="194" ht="52.79999923706055" hidden="0" customHeight="1">
      <x:c r="A194" s="89" t="str">
        <x:v>ABC-004</x:v>
      </x:c>
      <x:c r="B194" s="89" t="str">
        <x:v>01_vehicles!Y4</x:v>
      </x:c>
      <x:c r="C194" s="89" t="str">
        <x:v>~410-450 (OE)</x:v>
      </x:c>
      <x:c r="D194" s="89" t="str">
        <x:v>OEM ~400 CCA [OEM] (S31 dealer product listing for 31500-SR1-100M); aftermarket 51R ~410–450 CCA [aftermarket] (S1 service guidance). Product rating does not establish original installed fitment.</x:v>
      </x:c>
      <x:c r="E194" s="89" t="str">
        <x:v>A1: stale vehicle-sheet CCA classification reconciled to the battery record.</x:v>
      </x:c>
      <x:c r="F194" s="89" t="str">
        <x:v>Group A reconciliation</x:v>
      </x:c>
      <x:c r="G194" s="90" t="n">
        <x:v>46288</x:v>
      </x:c>
      <x:c r="H194" s="89" t="str">
        <x:v>Applied; remaining qualifications retained</x:v>
      </x:c>
    </x:row>
    <x:row r="195" ht="66" hidden="0" customHeight="1">
      <x:c r="A195" s="89" t="str">
        <x:v>ABC-005</x:v>
      </x:c>
      <x:c r="B195" s="89" t="str">
        <x:v>01_vehicles!AQ4</x:v>
      </x:c>
      <x:c r="C195" s="89" t="str">
        <x:v>Legacy research; not revalidated in this batch; </x:v>
      </x:c>
      <x:c r="D195" s="89" t="str">
        <x:v>Legacy research; not revalidated in this batch;  CCA correction: this vehicle sheet was stale; 410–450 was incorrectly labelled OE. B-CIV-001 separates OEM ~400 and aftermarket ~410–450. S31 independently states 400 CCA for the named service product.</x:v>
      </x:c>
      <x:c r="E195" s="89" t="str">
        <x:v>A1: record which sheet was stale.</x:v>
      </x:c>
      <x:c r="F195" s="89" t="str">
        <x:v>Group A reconciliation</x:v>
      </x:c>
      <x:c r="G195" s="90" t="n">
        <x:v>46288</x:v>
      </x:c>
      <x:c r="H195" s="89" t="str">
        <x:v>Applied; remaining qualifications retained</x:v>
      </x:c>
    </x:row>
    <x:row r="196" ht="26.399999618530273" hidden="0" customHeight="1">
      <x:c r="A196" s="89" t="str">
        <x:v>ABC-006</x:v>
      </x:c>
      <x:c r="B196" s="89" t="str">
        <x:v>01_vehicles!AO4</x:v>
      </x:c>
      <x:c r="C196" s="89" t="str">
        <x:v>S1;S2;S3;S4;S8 (battery) - S9;S10;S11;S12;S13 (charging)</x:v>
      </x:c>
      <x:c r="D196" s="89" t="str">
        <x:v>S1;S2;S3;S4;S8 (battery) - S9;S10;S11;S12;S13 (charging) ; S31 (OEM service-product CCA; not blanket fitment)</x:v>
      </x:c>
      <x:c r="E196" s="89" t="str">
        <x:v>A1: precise product provenance.</x:v>
      </x:c>
      <x:c r="F196" s="89" t="str">
        <x:v>Group A reconciliation</x:v>
      </x:c>
      <x:c r="G196" s="90" t="n">
        <x:v>46288</x:v>
      </x:c>
      <x:c r="H196" s="89" t="str">
        <x:v>Applied; remaining qualifications retained</x:v>
      </x:c>
    </x:row>
    <x:row r="197" ht="52.79999923706055" hidden="0" customHeight="1">
      <x:c r="A197" s="89" t="str">
        <x:v>ABC-007</x:v>
      </x:c>
      <x:c r="B197" s="89" t="str">
        <x:v>02_battery_specifications!P3</x:v>
      </x:c>
      <x:c r="C197" s="89" t="str">
        <x:v>OEM ~400 CCA (Honda label; dealer listing states 400) · aftermarket 51R typically 410-450 CCA</x:v>
      </x:c>
      <x:c r="D197" s="89" t="str">
        <x:v>OEM ~400 CCA [OEM] (S31 dealer product listing for 31500-SR1-100M); aftermarket 51R ~410–450 CCA [aftermarket] (S1 service guidance). Product rating does not establish original installed fitment.</x:v>
      </x:c>
      <x:c r="E197" s="89" t="str">
        <x:v>A1: consistent wording and specific supporting product source.</x:v>
      </x:c>
      <x:c r="F197" s="89" t="str">
        <x:v>Group A reconciliation</x:v>
      </x:c>
      <x:c r="G197" s="90" t="n">
        <x:v>46288</x:v>
      </x:c>
      <x:c r="H197" s="89" t="str">
        <x:v>Applied; remaining qualifications retained</x:v>
      </x:c>
    </x:row>
    <x:row r="198" ht="52.79999923706055" hidden="0" customHeight="1">
      <x:c r="A198" s="89" t="str">
        <x:v>ABC-008</x:v>
      </x:c>
      <x:c r="B198" s="89" t="str">
        <x:v>02_battery_specifications!Q3</x:v>
      </x:c>
      <x:c r="C198" s="89" t="str">
        <x:v>OEM ~500 CA (from '500Amp' naming) · aftermarket ~500-600 CA [OEM naming / aftermarket-typical]</x:v>
      </x:c>
      <x:c r="D198" s="89" t="str">
        <x:v>~500 CA [inferred from OEM part naming] (51R/500Amp85); published CA Not publicly verified. Aftermarket ~500–600 CA [aftermarket-typical], legacy estimate.</x:v>
      </x:c>
      <x:c r="E198" s="89" t="str">
        <x:v>A2: naming convention is not a published rating.</x:v>
      </x:c>
      <x:c r="F198" s="89" t="str">
        <x:v>Group A reconciliation</x:v>
      </x:c>
      <x:c r="G198" s="90" t="n">
        <x:v>46288</x:v>
      </x:c>
      <x:c r="H198" s="89" t="str">
        <x:v>Applied; remaining qualifications retained</x:v>
      </x:c>
    </x:row>
    <x:row r="199" ht="52.79999923706055" hidden="0" customHeight="1">
      <x:c r="A199" s="89" t="str">
        <x:v>ABC-009</x:v>
      </x:c>
      <x:c r="B199" s="89" t="str">
        <x:v>02_battery_specifications!R3</x:v>
      </x:c>
      <x:c r="C199" s="89" t="str">
        <x:v>OEM ~85 min (from '...85' naming) · aftermarket ~70-100 min</x:v>
      </x:c>
      <x:c r="D199" s="89" t="str">
        <x:v>~85 min RC [inferred from OEM part naming] (51R/500Amp85); published RC Not publicly verified. Aftermarket ~70–100 min [aftermarket-typical], legacy estimate.</x:v>
      </x:c>
      <x:c r="E199" s="89" t="str">
        <x:v>A2: naming convention is not a published rating.</x:v>
      </x:c>
      <x:c r="F199" s="89" t="str">
        <x:v>Group A reconciliation</x:v>
      </x:c>
      <x:c r="G199" s="90" t="n">
        <x:v>46288</x:v>
      </x:c>
      <x:c r="H199" s="89" t="str">
        <x:v>Applied; remaining qualifications retained</x:v>
      </x:c>
    </x:row>
    <x:row r="200" ht="118.80000305175781" hidden="0" customHeight="1">
      <x:c r="A200" s="89" t="str">
        <x:v>ABC-010</x:v>
      </x:c>
      <x:c r="B200" s="89" t="str">
        <x:v>02_battery_specifications!AW3</x:v>
      </x:c>
      <x:c r="C200" s="89" t="str">
        <x:v>Verified common across 2016-2021 standard trims: the same OE battery PN (31500-SR1-100M) is the platform battery for this range. Do NOT substitute a non-R Group 51 - reversed terminals mean the OE cables will not reach.</x:v>
      </x:c>
      <x:c r="D200" s="89" t="str">
        <x:v>31500-SR1-A02 supersedes to 31500-SR1-100M in the cited catalog. That supersession does not establish a common battery across all 2016–2021 standard trims. Confirm exact vehicle fitment and terminal layout; do not assume a non-R Group 51 is interchangeable.</x:v>
      </x:c>
      <x:c r="E200" s="89" t="str">
        <x:v>A2: remove unsupported verified-common-across-years claim.</x:v>
      </x:c>
      <x:c r="F200" s="89" t="str">
        <x:v>Group A reconciliation</x:v>
      </x:c>
      <x:c r="G200" s="90" t="n">
        <x:v>46288</x:v>
      </x:c>
      <x:c r="H200" s="89" t="str">
        <x:v>Applied; remaining qualifications retained</x:v>
      </x:c>
    </x:row>
    <x:row r="201" ht="158.39999389648438" hidden="0" customHeight="1">
      <x:c r="A201" s="89" t="str">
        <x:v>ABC-011</x:v>
      </x:c>
      <x:c r="B201" s="89" t="str">
        <x:v>02_battery_specifications!AY3</x:v>
      </x:c>
      <x:c r="C201" s="89" t="str">
        <x:v>OE part number + group verified across multiple Honda dealer catalogs. CCA: OE ~400 (Honda) vs 410-450 (aftermarket) - kept separate per instruction. Ah/dimensions/weight are BCI-standard/aftermarket, NOT Honda-published. Previous status detail: Verified (OEM PN + group); CCA OEM vs aftermarket separated.</x:v>
      </x:c>
      <x:c r="D201" s="89" t="str">
        <x:v>S31 explicitly lists the service product 31500-SR1-100M as Group 51R, 400 CCA. This establishes product data, not the original installed battery or all-trim fitment. Q/R naming-derived estimates are [inferred from OEM part naming], not published OEM specifications. Approximate aftermarket values remain qualified. Vehicle Y3:Y4 had the stale OE/aftermarket classification and now agree with this row.</x:v>
      </x:c>
      <x:c r="E201" s="89" t="str">
        <x:v>A1/A2: remove conflicting verification language.</x:v>
      </x:c>
      <x:c r="F201" s="89" t="str">
        <x:v>Group A reconciliation</x:v>
      </x:c>
      <x:c r="G201" s="90" t="n">
        <x:v>46288</x:v>
      </x:c>
      <x:c r="H201" s="89" t="str">
        <x:v>Applied; remaining qualifications retained</x:v>
      </x:c>
    </x:row>
    <x:row r="202" ht="66" hidden="0" customHeight="1">
      <x:c r="A202" s="89" t="str">
        <x:v>ABC-012</x:v>
      </x:c>
      <x:c r="B202" s="89" t="str">
        <x:v>01b_sources!B24</x:v>
      </x:c>
      <x:c r="C202" s="89" t="str">
        <x:v>Honda 2025 Civic Hybrid Emergency Response Guide (Honda Canada Inc., doc 26065 (2406), Ver.1) - UPLOADED PDF</x:v>
      </x:c>
      <x:c r="D202" s="89" t="str">
        <x:v>Honda Canada 2025 Civic Hybrid Emergency Response Guide, 26065 (2406), Version 1</x:v>
      </x:c>
      <x:c r="E202" s="89" t="str">
        <x:v>A3: preserve Canadian version as a distinct source.</x:v>
      </x:c>
      <x:c r="F202" s="89" t="str">
        <x:v>Group A reconciliation</x:v>
      </x:c>
      <x:c r="G202" s="90" t="n">
        <x:v>46288</x:v>
      </x:c>
      <x:c r="H202" s="89" t="str">
        <x:v>Applied; remaining qualifications retained</x:v>
      </x:c>
    </x:row>
    <x:row r="203" ht="52.79999923706055" hidden="0" customHeight="1">
      <x:c r="A203" s="89" t="str">
        <x:v>ABC-013</x:v>
      </x:c>
      <x:c r="B203" s="89" t="str">
        <x:v>01b_sources!F24</x:v>
      </x:c>
      <x:c r="C203" s="89" t="str"/>
      <x:c r="D203" s="89" t="str">
        <x:v>https://www.honda.ca/Content/honda.ca/960C3EB4-D8E4-4446-B894-8A66DDE970B4/GenericContent_FFH/2025%20Civic%20Hybrid%20Emergency%20Response%20Guide%20%28final%29%20EN.pdf</x:v>
      </x:c>
      <x:c r="E203" s="89" t="str">
        <x:v>A3: Canadian guide has its own document URL.</x:v>
      </x:c>
      <x:c r="F203" s="89" t="str">
        <x:v>Group A reconciliation</x:v>
      </x:c>
      <x:c r="G203" s="90" t="n">
        <x:v>46288</x:v>
      </x:c>
      <x:c r="H203" s="89" t="str">
        <x:v>Applied; remaining qualifications retained</x:v>
      </x:c>
    </x:row>
    <x:row r="204" ht="66" hidden="0" customHeight="1">
      <x:c r="A204" s="89" t="str">
        <x:v>ABC-014</x:v>
      </x:c>
      <x:c r="B204" s="89" t="str">
        <x:v>01b_sources!H24</x:v>
      </x:c>
      <x:c r="C204" s="89" t="str">
        <x:v>Legacy source entry; not reopened in this batch.</x:v>
      </x:c>
      <x:c r="D204" s="89" t="str">
        <x:v>Canadian Version 1, 2025 only. Previously uploaded source; original extraction retained. Direct PDF location identified, but this pass could not retrieve its full contents. Neutral-shift claim is the historical V1 attribution; do not substitute American Version 2.</x:v>
      </x:c>
      <x:c r="E204" s="89" t="str">
        <x:v>A3: transparent document/version limits.</x:v>
      </x:c>
      <x:c r="F204" s="89" t="str">
        <x:v>Group A reconciliation</x:v>
      </x:c>
      <x:c r="G204" s="90" t="n">
        <x:v>46288</x:v>
      </x:c>
      <x:c r="H204" s="89" t="str">
        <x:v>Applied; remaining qualifications retained</x:v>
      </x:c>
    </x:row>
    <x:row r="205" ht="26.399999618530273" hidden="0" customHeight="1">
      <x:c r="A205" s="89" t="str">
        <x:v>ABC-015</x:v>
      </x:c>
      <x:c r="B205" s="89" t="str">
        <x:v>01b_sources!A176:I177</x:v>
      </x:c>
      <x:c r="C205" s="89" t="str">
        <x:v>No separate US guide or exact 400 CCA product source</x:v>
      </x:c>
      <x:c r="D205" s="89" t="str">
        <x:v>S30 US ERG V2; S31 dealer product description</x:v>
      </x:c>
      <x:c r="E205" s="89" t="str">
        <x:v>A1/A3: two distinct source records, no new parts or batteries.</x:v>
      </x:c>
      <x:c r="F205" s="89" t="str">
        <x:v>Group A reconciliation</x:v>
      </x:c>
      <x:c r="G205" s="90" t="n">
        <x:v>46288</x:v>
      </x:c>
      <x:c r="H205" s="89" t="str">
        <x:v>Applied; remaining qualifications retained</x:v>
      </x:c>
    </x:row>
    <x:row r="206" ht="158.39999389648438" hidden="0" customHeight="1">
      <x:c r="A206" s="89" t="str">
        <x:v>ABC-016</x:v>
      </x:c>
      <x:c r="B206" s="89" t="str">
        <x:v>02_battery_specifications!AU9</x:v>
      </x:c>
      <x:c r="C206" s="89" t="str">
        <x:v>ERG: disconnect the 12-volt battery as the first step of HV battery discharging; cutting the negative 12V cable + PCU cable is the ALTERNATIVE HV shutdown method. Parking brake cannot be applied/released without 12V power, and the vehicle cannot be shifted to neutral if 12V power is lost. [OEM - Honda ERG pp.11,14-15,25,32]</x:v>
      </x:c>
      <x:c r="D206" s="89" t="str">
        <x:v>[OEM] S20 Canadian Version 1 (26065 (2406), 2025): prior workbook extraction attributes inability to shift to neutral after loss of 12V power. [OEM] S30 American Version 2 (26065 (2506), 2025–26), p.12: says the selector can shift into P or N without POWER/brake when the 12V system is unavailable. Version-specific disagreement retained; neither statement is universal. S20 V1 also supplied the earlier shutdown/parking-brake notes. Use the applicable full OEM guide; do not merge procedures.</x:v>
      </x:c>
      <x:c r="E206" s="89" t="str">
        <x:v>A3: explicitly attribute the conflicting neutral-shift claims.</x:v>
      </x:c>
      <x:c r="F206" s="89" t="str">
        <x:v>Group A reconciliation</x:v>
      </x:c>
      <x:c r="G206" s="90" t="n">
        <x:v>46288</x:v>
      </x:c>
      <x:c r="H206" s="89" t="str">
        <x:v>Applied; remaining qualifications retained</x:v>
      </x:c>
    </x:row>
    <x:row r="207" ht="105.5999984741211" hidden="0" customHeight="1">
      <x:c r="A207" s="89" t="str">
        <x:v>ABC-017</x:v>
      </x:c>
      <x:c r="B207" s="89" t="str">
        <x:v>02_battery_specifications!AX9</x:v>
      </x:c>
      <x:c r="C207" s="89" t="str">
        <x:v>https://www.honda.ca/en/owners/esafety-info -&gt; 2025 Civic Hybrid Emergency Response Guide (PDF, Honda Canada) - p.21 Stored Energy table; also mirrored at techinfo.honda.com/Rjanisis/pubs/web/AEG26065.pdf</x:v>
      </x:c>
      <x:c r="D207" s="89" t="str">
        <x:v>https://www.honda.ca/Content/honda.ca/960C3EB4-D8E4-4446-B894-8A66DDE970B4/GenericContent_FFH/2025%20Civic%20Hybrid%20Emergency%20Response%20Guide%20%28final%29%20EN.pdf
https://techinfo.honda.com/Rjanisis/pubs/web/AEG26065.pdf</x:v>
      </x:c>
      <x:c r="E207" s="89" t="str">
        <x:v>A3: separate document URLs; remove mirror designation.</x:v>
      </x:c>
      <x:c r="F207" s="89" t="str">
        <x:v>Group A reconciliation</x:v>
      </x:c>
      <x:c r="G207" s="90" t="n">
        <x:v>46288</x:v>
      </x:c>
      <x:c r="H207" s="89" t="str">
        <x:v>Applied; remaining qualifications retained</x:v>
      </x:c>
    </x:row>
    <x:row r="208" ht="198" hidden="0" customHeight="1">
      <x:c r="A208" s="89" t="str">
        <x:v>ABC-018</x:v>
      </x:c>
      <x:c r="B208" s="89" t="str">
        <x:v>02_battery_specifications!AY9</x:v>
      </x:c>
      <x:c r="C208" s="89" t="str">
        <x:v>UPGRADED from 'Not publicly verified' using the uploaded Honda ERG. Capacity (45 Ah/20HR, 36 Ah/5HR), nominal voltage and lead-acid composition are now OEM-verified. Group size, CCA, reserve capacity, dimensions, weight and OEM part number are still NOT stated in the ERG and remain unverified. Previous status detail: Partially OEM-verified (capacity/chemistry) - Honda ERG.</x:v>
      </x:c>
      <x:c r="D208" s="89" t="str">
        <x:v>UPGRADED from 'Not publicly verified' using the uploaded Honda ERG. Capacity (45 Ah/20HR, 36 Ah/5HR), nominal voltage and lead-acid composition are now OEM-verified. Group size, CCA, reserve capacity, dimensions, weight and OEM part number are still NOT stated in the ERG and remain unverified. Previous status detail: Partially OEM-verified (capacity/chemistry) - Honda ERG. Source identity correction: S20 = Canadian V1 26065 (2406), 2025. S30 = American V2 26065 (2506), 2025–26. Existing S20-derived data has not been silently migrated to S30. See AU9 for the neutral-shift disagreement.</x:v>
      </x:c>
      <x:c r="E208" s="89" t="str">
        <x:v>A3: make version boundaries explicit.</x:v>
      </x:c>
      <x:c r="F208" s="89" t="str">
        <x:v>Group A reconciliation</x:v>
      </x:c>
      <x:c r="G208" s="90" t="n">
        <x:v>46288</x:v>
      </x:c>
      <x:c r="H208" s="89" t="str">
        <x:v>Applied; remaining qualifications retained</x:v>
      </x:c>
    </x:row>
    <x:row r="209" ht="158.39999389648438" hidden="0" customHeight="1">
      <x:c r="A209" s="89" t="str">
        <x:v>ABC-019</x:v>
      </x:c>
      <x:c r="B209" s="89" t="str">
        <x:v>02_battery_specifications!AX10</x:v>
      </x:c>
      <x:c r="C209" s="89" t="str">
        <x:v>https://www.honda.ca/en/owners/esafety-info -&gt; 2025 Civic Hybrid Emergency Response Guide (PDF, Honda Canada, doc 26065 (2406), Version 1); mirrored at techinfo.honda.com/Rjanisis/pubs/web/AEG26065.pdf. Total energy 1.06 kWh from hondanews.com (two-motor system); replacement PN from go-parts.com.</x:v>
      </x:c>
      <x:c r="D209" s="89" t="str">
        <x:v>https://www.honda.ca/Content/honda.ca/960C3EB4-D8E4-4446-B894-8A66DDE970B4/GenericContent_FFH/2025%20Civic%20Hybrid%20Emergency%20Response%20Guide%20%28final%29%20EN.pdf
https://techinfo.honda.com/Rjanisis/pubs/web/AEG26065.pdf</x:v>
      </x:c>
      <x:c r="E209" s="89" t="str">
        <x:v>A3: separate document URLs; remove mirror designation.</x:v>
      </x:c>
      <x:c r="F209" s="89" t="str">
        <x:v>Group A reconciliation</x:v>
      </x:c>
      <x:c r="G209" s="90" t="n">
        <x:v>46288</x:v>
      </x:c>
      <x:c r="H209" s="89" t="str">
        <x:v>Applied; remaining qualifications retained</x:v>
      </x:c>
    </x:row>
    <x:row r="210" ht="343.20001220703125" hidden="0" customHeight="1">
      <x:c r="A210" s="89" t="str">
        <x:v>ABC-020</x:v>
      </x:c>
      <x:c r="B210" s="89" t="str">
        <x:v>02_battery_specifications!AY10</x:v>
      </x:c>
      <x:c r="C210" s="89" t="str">
        <x:v>UPGRADED using the uploaded Honda ERG (Tier A, manufacturer). Newly OEM-verified: cell/module split (36 x 2), full chemistry composition, LIQUID cooling (1.1 L dedicated HV coolant), contactor/BMS crash behaviour, and the complete safety/service/discharge procedure. STILL not published anywhere in the ERG: usable energy, max charge current, max discharge current, C-rate, SOC operating window, depth of discharge and cycle life - these remain service-manual items. Note the ERG states pack voltage and cell count but NOT kWh; the 1.06 kWh figure comes from Honda's newsroom, so the two sources are complementary rather than conflicting. Previous status detail: OEM-verified (Honda ERG) - internal limits still unavailable.</x:v>
      </x:c>
      <x:c r="D210" s="89" t="str">
        <x:v>UPGRADED using the uploaded Honda ERG (Tier A, manufacturer). Newly OEM-verified: cell/module split (36 x 2), full chemistry composition, LIQUID cooling (1.1 L dedicated HV coolant), contactor/BMS crash behaviour, and the complete safety/service/discharge procedure. STILL not published anywhere in the ERG: usable energy, max charge current, max discharge current, C-rate, SOC operating window, depth of discharge and cycle life - these remain service-manual items. Note the ERG states pack voltage and cell count but NOT kWh; the 1.06 kWh figure comes from Honda's newsroom, so the two sources are complementary rather than conflicting. Previous status detail: OEM-verified (Honda ERG) - internal limits still unavailable. Source identity correction: S20 = Canadian V1 26065 (2406), 2025. S30 = American V2 26065 (2506), 2025–26. Existing S20-derived data has not been silently migrated to S30. See AU9 for the neutral-shift disagreement.</x:v>
      </x:c>
      <x:c r="E210" s="89" t="str">
        <x:v>A3: make version boundaries explicit.</x:v>
      </x:c>
      <x:c r="F210" s="89" t="str">
        <x:v>Group A reconciliation</x:v>
      </x:c>
      <x:c r="G210" s="90" t="n">
        <x:v>46288</x:v>
      </x:c>
      <x:c r="H210" s="89" t="str">
        <x:v>Applied; remaining qualifications retained</x:v>
      </x:c>
    </x:row>
    <x:row r="211" ht="607.2000122070312" hidden="0" customHeight="1">
      <x:c r="A211" s="89" t="str">
        <x:v>ABC-021</x:v>
      </x:c>
      <x:c r="B211" s="89" t="str">
        <x:v>02_battery_specifications!AU10</x:v>
      </x:c>
      <x:c r="C211" s="89" t="str">
        <x:v>LETHAL 262 V. Pack is under the REAR SEAT; no access from the vehicle underside. HV service plug is under the rear seat cushion (10 mm cover bolts). SHUTDOWN - preferred: hold POWER button 3 s, then move the keyless remote at least 6 m away; alternative: cut the negative 12V cable AND the PCU cable at the two labelled cut points. Airbags/pretensioners retain power up to 3 MINUTES after shutdown. HV cables are ORANGE - never touch if exposed. PPE (insulating gloves, goggles, boots) required. FIRE: large sustained volume of water (or ABC powder); direct water into the HV battery vent under the rear seat cushion; never seawater/salt water; do not open the battery cover; assume stranded energy and possible re-ignition; monitor with a thermal camera. SUBMERSION: no shock risk from touching the body. DISCHARGING (if severely damaged/burned/submerged): remove service plug, submerge in a 6 x 3 x 1 m pool to a minimum depth of 522 mm for at least 3.5 days, then dispose of the water as industrial waste. STORAGE: outdoors, 15 m (50 ft) from combustibles. Electrolyte is corrosive/flammable - flush skin or eyes 5 minutes and seek medical attention. Dealer/qualified service only. [OEM - Honda ERG pp.9,14-16,21,23-24,30-36]</x:v>
      </x:c>
      <x:c r="D211" s="89" t="str">
        <x:v>LETHAL 262 V. Pack is under the REAR SEAT; no access from the vehicle underside. HV service plug is under the rear seat cushion (10 mm cover bolts). SHUTDOWN - preferred: hold POWER button 3 s, then move the keyless remote at least 6 m away; alternative: cut the negative 12V cable AND the PCU cable at the two labelled cut points. Airbags/pretensioners retain power up to 3 MINUTES after shutdown. HV cables are ORANGE - never touch if exposed. PPE (insulating gloves, goggles, boots) required. FIRE: large sustained volume of water (or ABC powder); direct water into the HV battery vent under the rear seat cushion; never seawater/salt water; do not open the battery cover; assume stranded energy and possible re-ignition; monitor with a thermal camera. SUBMERSION: no shock risk from touching the body. DISCHARGING (if severely damaged/burned/submerged): remove service plug, submerge in a 6 x 3 x 1 m pool to a minimum depth of 522 mm for at least 3.5 days, then dispose of the water as industrial waste. STORAGE: outdoors, 15 m (50 ft) from combustibles. Electrolyte is corrosive/flammable - flush skin or eyes 5 minutes and seek medical attention. Dealer/qualified service only. [OEM - Honda ERG pp.9,14-16,21,23-24,30-36] Version boundary: preceding ERG procedure text is the retained S20 Canadian V1 attribution, not a verified transcription of S30 US V2. Neutral-shift claims differ; see AU9. Do not combine versions into one procedure.</x:v>
      </x:c>
      <x:c r="E211" s="89" t="str">
        <x:v>A3: prevent merged safety-procedure attribution.</x:v>
      </x:c>
      <x:c r="F211" s="89" t="str">
        <x:v>Group A reconciliation</x:v>
      </x:c>
      <x:c r="G211" s="90" t="n">
        <x:v>46288</x:v>
      </x:c>
      <x:c r="H211" s="89" t="str">
        <x:v>Applied; remaining qualifications retained</x:v>
      </x:c>
    </x:row>
    <x:row r="212" ht="435.6000061035156" hidden="0" customHeight="1">
      <x:c r="A212" s="89" t="str">
        <x:v>ABC-022</x:v>
      </x:c>
      <x:c r="B212" s="89" t="str">
        <x:v>02_battery_specifications!AY10</x:v>
      </x:c>
      <x:c r="C212" s="89" t="str">
        <x:v>UPGRADED using the uploaded Honda ERG (Tier A, manufacturer). Newly OEM-verified: cell/module split (36 x 2), full chemistry composition, LIQUID cooling (1.1 L dedicated HV coolant), contactor/BMS crash behaviour, and the complete safety/service/discharge procedure. STILL not published anywhere in the ERG: usable energy, max charge current, max discharge current, C-rate, SOC operating window, depth of discharge and cycle life - these remain service-manual items. Note the ERG states pack voltage and cell count but NOT kWh; the 1.06 kWh figure comes from Honda's newsroom, so the two sources are complementary rather than conflicting. Previous status detail: OEM-verified (Honda ERG) - internal limits still unavailable. Source identity correction: S20 = Canadian V1 26065 (2406), 2025. S30 = American V2 26065 (2506), 2025–26. Existing S20-derived data has not been silently migrated to S30. See AU9 for the neutral-shift disagreement.</x:v>
      </x:c>
      <x:c r="D212" s="89" t="str">
        <x:v>UPGRADED using the uploaded Honda ERG (Tier A, manufacturer). Newly OEM-verified: cell/module split (36 x 2), full chemistry composition, LIQUID cooling (1.1 L dedicated HV coolant), contactor/BMS crash behaviour, and the retained safety/service/discharge extract (S20 Canadian Version 1 only; not revalidated against S30). STILL not published anywhere in the ERG: usable energy, max charge current, max discharge current, C-rate, SOC operating window, depth of discharge and cycle life - these remain service-manual items. Note the ERG states pack voltage and cell count but NOT kWh; the 1.06 kWh figure comes from Honda's newsroom, so the two sources are complementary rather than conflicting. Previous status detail: OEM-verified (Honda ERG) - internal limits still unavailable. Source identity correction: S20 = Canadian V1 26065 (2406), 2025. S30 = American V2 26065 (2506), 2025–26. Existing S20-derived data has not been silently migrated to S30. See AU9 for the neutral-shift disagreement.</x:v>
      </x:c>
      <x:c r="E212" s="89" t="str">
        <x:v>A3: avoid presenting the extract as the current US guide.</x:v>
      </x:c>
      <x:c r="F212" s="89" t="str">
        <x:v>Group A reconciliation</x:v>
      </x:c>
      <x:c r="G212" s="90" t="n">
        <x:v>46288</x:v>
      </x:c>
      <x:c r="H212" s="89" t="str">
        <x:v>Applied; remaining qualifications retained</x:v>
      </x:c>
    </x:row>
    <x:row r="213" ht="52.79999923706055" hidden="0" customHeight="1">
      <x:c r="A213" s="89" t="str">
        <x:v>ABC-023</x:v>
      </x:c>
      <x:c r="B213" s="89" t="str">
        <x:v>01_vehicles!AQ11</x:v>
      </x:c>
      <x:c r="C213" s="89" t="str">
        <x:v>Legacy research; not revalidated in this batch; </x:v>
      </x:c>
      <x:c r="D213" s="89" t="str">
        <x:v>Legacy research; not revalidated in this batch;  ERG citations are version-specific: S20 Canadian V1 (2025), S30 US V2 (2025–26). Neutral-shift claims differ; see B-CIV-007 AU. No procedure is generalized between versions.</x:v>
      </x:c>
      <x:c r="E213" s="89" t="str">
        <x:v>A3: expose version conflict in linked vehicle.</x:v>
      </x:c>
      <x:c r="F213" s="89" t="str">
        <x:v>Group A reconciliation</x:v>
      </x:c>
      <x:c r="G213" s="90" t="n">
        <x:v>46288</x:v>
      </x:c>
      <x:c r="H213" s="89" t="str">
        <x:v>Applied; remaining qualifications retained</x:v>
      </x:c>
    </x:row>
    <x:row r="214" ht="26.399999618530273" hidden="0" customHeight="1">
      <x:c r="A214" s="89" t="str">
        <x:v>ABC-024</x:v>
      </x:c>
      <x:c r="B214" s="89" t="str">
        <x:v>01b_sources!F5</x:v>
      </x:c>
      <x:c r="C214" s="89" t="str"/>
      <x:c r="D214" s="89" t="str">
        <x:v>https://services.firestonecompleteautocare.com/honda/civic-2016-2021/</x:v>
      </x:c>
      <x:c r="E214" s="89" t="str">
        <x:v>B2: every legacy source has a specific locator or explicit missing-locator state.</x:v>
      </x:c>
      <x:c r="F214" s="89" t="str">
        <x:v>Group B reconciliation</x:v>
      </x:c>
      <x:c r="G214" s="90" t="n">
        <x:v>46288</x:v>
      </x:c>
      <x:c r="H214" s="89" t="str">
        <x:v>Applied; remaining qualifications retained</x:v>
      </x:c>
    </x:row>
    <x:row r="215" ht="39.599998474121094" hidden="0" customHeight="1">
      <x:c r="A215" s="89" t="str">
        <x:v>ABC-025</x:v>
      </x:c>
      <x:c r="B215" s="89" t="str">
        <x:v>01b_sources!H5</x:v>
      </x:c>
      <x:c r="C215" s="89" t="str">
        <x:v>Legacy source entry; not reopened in this batch.</x:v>
      </x:c>
      <x:c r="D215" s="89" t="str">
        <x:v>Specific source page located and checked. Supports only its stated product/year/trim scope; historical claims are not automatically verified by URL reachability.</x:v>
      </x:c>
      <x:c r="E215" s="89" t="str">
        <x:v>B2: distinguish locator checks from full claim verification.</x:v>
      </x:c>
      <x:c r="F215" s="89" t="str">
        <x:v>Group B reconciliation</x:v>
      </x:c>
      <x:c r="G215" s="90" t="n">
        <x:v>46288</x:v>
      </x:c>
      <x:c r="H215" s="89" t="str">
        <x:v>Applied; remaining qualifications retained</x:v>
      </x:c>
    </x:row>
    <x:row r="216" ht="26.399999618530273" hidden="0" customHeight="1">
      <x:c r="A216" s="89" t="str">
        <x:v>ABC-026</x:v>
      </x:c>
      <x:c r="B216" s="89" t="str">
        <x:v>01b_sources!F6</x:v>
      </x:c>
      <x:c r="C216" s="89" t="str"/>
      <x:c r="D216" s="89" t="str">
        <x:v>no URL on record</x:v>
      </x:c>
      <x:c r="E216" s="89" t="str">
        <x:v>B2: every legacy source has a specific locator or explicit missing-locator state.</x:v>
      </x:c>
      <x:c r="F216" s="89" t="str">
        <x:v>Group B reconciliation</x:v>
      </x:c>
      <x:c r="G216" s="90" t="n">
        <x:v>46288</x:v>
      </x:c>
      <x:c r="H216" s="89" t="str">
        <x:v>Applied; remaining qualifications retained</x:v>
      </x:c>
    </x:row>
    <x:row r="217" ht="39.599998474121094" hidden="0" customHeight="1">
      <x:c r="A217" s="89" t="str">
        <x:v>ABC-027</x:v>
      </x:c>
      <x:c r="B217" s="89" t="str">
        <x:v>01b_sources!H6</x:v>
      </x:c>
      <x:c r="C217" s="89" t="str">
        <x:v>Legacy source entry; not reopened in this batch.</x:v>
      </x:c>
      <x:c r="D217" s="89" t="str">
        <x:v>no URL on record. Legacy attribution retained; exact supporting page not recovered. Do not treat the source name or publisher homepage as a verified citation.</x:v>
      </x:c>
      <x:c r="E217" s="89" t="str">
        <x:v>B2: explicitly retain unresolved provenance.</x:v>
      </x:c>
      <x:c r="F217" s="89" t="str">
        <x:v>Group B reconciliation</x:v>
      </x:c>
      <x:c r="G217" s="90" t="n">
        <x:v>46288</x:v>
      </x:c>
      <x:c r="H217" s="89" t="str">
        <x:v>Applied; remaining qualifications retained</x:v>
      </x:c>
    </x:row>
    <x:row r="218" ht="26.399999618530273" hidden="0" customHeight="1">
      <x:c r="A218" s="89" t="str">
        <x:v>ABC-028</x:v>
      </x:c>
      <x:c r="B218" s="89" t="str">
        <x:v>01b_sources!F7</x:v>
      </x:c>
      <x:c r="C218" s="89" t="str"/>
      <x:c r="D218" s="89" t="str">
        <x:v>https://www.autopadre.com/battery-size/honda-civic</x:v>
      </x:c>
      <x:c r="E218" s="89" t="str">
        <x:v>B2: every legacy source has a specific locator or explicit missing-locator state.</x:v>
      </x:c>
      <x:c r="F218" s="89" t="str">
        <x:v>Group B reconciliation</x:v>
      </x:c>
      <x:c r="G218" s="90" t="n">
        <x:v>46288</x:v>
      </x:c>
      <x:c r="H218" s="89" t="str">
        <x:v>Applied; remaining qualifications retained</x:v>
      </x:c>
    </x:row>
    <x:row r="219" ht="39.599998474121094" hidden="0" customHeight="1">
      <x:c r="A219" s="89" t="str">
        <x:v>ABC-029</x:v>
      </x:c>
      <x:c r="B219" s="89" t="str">
        <x:v>01b_sources!H7</x:v>
      </x:c>
      <x:c r="C219" s="89" t="str">
        <x:v>Legacy source entry; not reopened in this batch.</x:v>
      </x:c>
      <x:c r="D219" s="89" t="str">
        <x:v>Specific source page located and checked. Supports only its stated product/year/trim scope; historical claims are not automatically verified by URL reachability.</x:v>
      </x:c>
      <x:c r="E219" s="89" t="str">
        <x:v>B2: distinguish locator checks from full claim verification.</x:v>
      </x:c>
      <x:c r="F219" s="89" t="str">
        <x:v>Group B reconciliation</x:v>
      </x:c>
      <x:c r="G219" s="90" t="n">
        <x:v>46288</x:v>
      </x:c>
      <x:c r="H219" s="89" t="str">
        <x:v>Applied; remaining qualifications retained</x:v>
      </x:c>
    </x:row>
    <x:row r="220" ht="26.399999618530273" hidden="0" customHeight="1">
      <x:c r="A220" s="89" t="str">
        <x:v>ABC-030</x:v>
      </x:c>
      <x:c r="B220" s="89" t="str">
        <x:v>01b_sources!F8</x:v>
      </x:c>
      <x:c r="C220" s="89" t="str"/>
      <x:c r="D220" s="89" t="str">
        <x:v>https://hondatheotherside.com/honda-civic-battery-size/</x:v>
      </x:c>
      <x:c r="E220" s="89" t="str">
        <x:v>B2: every legacy source has a specific locator or explicit missing-locator state.</x:v>
      </x:c>
      <x:c r="F220" s="89" t="str">
        <x:v>Group B reconciliation</x:v>
      </x:c>
      <x:c r="G220" s="90" t="n">
        <x:v>46288</x:v>
      </x:c>
      <x:c r="H220" s="89" t="str">
        <x:v>Applied; remaining qualifications retained</x:v>
      </x:c>
    </x:row>
    <x:row r="221" ht="39.599998474121094" hidden="0" customHeight="1">
      <x:c r="A221" s="89" t="str">
        <x:v>ABC-031</x:v>
      </x:c>
      <x:c r="B221" s="89" t="str">
        <x:v>01b_sources!H8</x:v>
      </x:c>
      <x:c r="C221" s="89" t="str">
        <x:v>Legacy source entry; not reopened in this batch.</x:v>
      </x:c>
      <x:c r="D221" s="89" t="str">
        <x:v>Specific source page located and checked. Supports only its stated product/year/trim scope; historical claims are not automatically verified by URL reachability.</x:v>
      </x:c>
      <x:c r="E221" s="89" t="str">
        <x:v>B2: distinguish locator checks from full claim verification.</x:v>
      </x:c>
      <x:c r="F221" s="89" t="str">
        <x:v>Group B reconciliation</x:v>
      </x:c>
      <x:c r="G221" s="90" t="n">
        <x:v>46288</x:v>
      </x:c>
      <x:c r="H221" s="89" t="str">
        <x:v>Applied; remaining qualifications retained</x:v>
      </x:c>
    </x:row>
    <x:row r="222" ht="26.399999618530273" hidden="0" customHeight="1">
      <x:c r="A222" s="89" t="str">
        <x:v>ABC-032</x:v>
      </x:c>
      <x:c r="B222" s="89" t="str">
        <x:v>01b_sources!F9</x:v>
      </x:c>
      <x:c r="C222" s="89" t="str"/>
      <x:c r="D222" s="89" t="str">
        <x:v>https://revcivic.com/honda-civic-battery-group-size-guide-exact-sizes-by-year-trim/</x:v>
      </x:c>
      <x:c r="E222" s="89" t="str">
        <x:v>B2: every legacy source has a specific locator or explicit missing-locator state.</x:v>
      </x:c>
      <x:c r="F222" s="89" t="str">
        <x:v>Group B reconciliation</x:v>
      </x:c>
      <x:c r="G222" s="90" t="n">
        <x:v>46288</x:v>
      </x:c>
      <x:c r="H222" s="89" t="str">
        <x:v>Applied; remaining qualifications retained</x:v>
      </x:c>
    </x:row>
    <x:row r="223" ht="39.599998474121094" hidden="0" customHeight="1">
      <x:c r="A223" s="89" t="str">
        <x:v>ABC-033</x:v>
      </x:c>
      <x:c r="B223" s="89" t="str">
        <x:v>01b_sources!H9</x:v>
      </x:c>
      <x:c r="C223" s="89" t="str">
        <x:v>Legacy source entry; not reopened in this batch.</x:v>
      </x:c>
      <x:c r="D223" s="89" t="str">
        <x:v>Specific source page located and checked. Supports only its stated product/year/trim scope; historical claims are not automatically verified by URL reachability.</x:v>
      </x:c>
      <x:c r="E223" s="89" t="str">
        <x:v>B2: distinguish locator checks from full claim verification.</x:v>
      </x:c>
      <x:c r="F223" s="89" t="str">
        <x:v>Group B reconciliation</x:v>
      </x:c>
      <x:c r="G223" s="90" t="n">
        <x:v>46288</x:v>
      </x:c>
      <x:c r="H223" s="89" t="str">
        <x:v>Applied; remaining qualifications retained</x:v>
      </x:c>
    </x:row>
    <x:row r="224" ht="26.399999618530273" hidden="0" customHeight="1">
      <x:c r="A224" s="89" t="str">
        <x:v>ABC-034</x:v>
      </x:c>
      <x:c r="B224" s="89" t="str">
        <x:v>01b_sources!F10</x:v>
      </x:c>
      <x:c r="C224" s="89" t="str"/>
      <x:c r="D224" s="89" t="str">
        <x:v>https://www.optimabatteries.com/experience/blog/what-size-battery-fits-my-honda-civic</x:v>
      </x:c>
      <x:c r="E224" s="89" t="str">
        <x:v>B2: every legacy source has a specific locator or explicit missing-locator state.</x:v>
      </x:c>
      <x:c r="F224" s="89" t="str">
        <x:v>Group B reconciliation</x:v>
      </x:c>
      <x:c r="G224" s="90" t="n">
        <x:v>46288</x:v>
      </x:c>
      <x:c r="H224" s="89" t="str">
        <x:v>Applied; remaining qualifications retained</x:v>
      </x:c>
    </x:row>
    <x:row r="225" ht="39.599998474121094" hidden="0" customHeight="1">
      <x:c r="A225" s="89" t="str">
        <x:v>ABC-035</x:v>
      </x:c>
      <x:c r="B225" s="89" t="str">
        <x:v>01b_sources!H10</x:v>
      </x:c>
      <x:c r="C225" s="89" t="str">
        <x:v>Legacy source entry; not reopened in this batch.</x:v>
      </x:c>
      <x:c r="D225" s="89" t="str">
        <x:v>Specific source page located and checked. Supports only its stated product/year/trim scope; historical claims are not automatically verified by URL reachability.</x:v>
      </x:c>
      <x:c r="E225" s="89" t="str">
        <x:v>B2: distinguish locator checks from full claim verification.</x:v>
      </x:c>
      <x:c r="F225" s="89" t="str">
        <x:v>Group B reconciliation</x:v>
      </x:c>
      <x:c r="G225" s="90" t="n">
        <x:v>46288</x:v>
      </x:c>
      <x:c r="H225" s="89" t="str">
        <x:v>Applied; remaining qualifications retained</x:v>
      </x:c>
    </x:row>
    <x:row r="226" ht="26.399999618530273" hidden="0" customHeight="1">
      <x:c r="A226" s="89" t="str">
        <x:v>ABC-036</x:v>
      </x:c>
      <x:c r="B226" s="89" t="str">
        <x:v>01b_sources!F11</x:v>
      </x:c>
      <x:c r="C226" s="89" t="str"/>
      <x:c r="D226" s="89" t="str">
        <x:v>https://shop.advanceautoparts.com/find/2023-honda-civic-batteries</x:v>
      </x:c>
      <x:c r="E226" s="89" t="str">
        <x:v>B2: every legacy source has a specific locator or explicit missing-locator state.</x:v>
      </x:c>
      <x:c r="F226" s="89" t="str">
        <x:v>Group B reconciliation</x:v>
      </x:c>
      <x:c r="G226" s="90" t="n">
        <x:v>46288</x:v>
      </x:c>
      <x:c r="H226" s="89" t="str">
        <x:v>Applied; remaining qualifications retained</x:v>
      </x:c>
    </x:row>
    <x:row r="227" ht="39.599998474121094" hidden="0" customHeight="1">
      <x:c r="A227" s="89" t="str">
        <x:v>ABC-037</x:v>
      </x:c>
      <x:c r="B227" s="89" t="str">
        <x:v>01b_sources!H11</x:v>
      </x:c>
      <x:c r="C227" s="89" t="str">
        <x:v>Legacy source entry; not reopened in this batch.</x:v>
      </x:c>
      <x:c r="D227" s="89" t="str">
        <x:v>Specific source page located and checked. Supports only its stated product/year/trim scope; historical claims are not automatically verified by URL reachability.</x:v>
      </x:c>
      <x:c r="E227" s="89" t="str">
        <x:v>B2: distinguish locator checks from full claim verification.</x:v>
      </x:c>
      <x:c r="F227" s="89" t="str">
        <x:v>Group B reconciliation</x:v>
      </x:c>
      <x:c r="G227" s="90" t="n">
        <x:v>46288</x:v>
      </x:c>
      <x:c r="H227" s="89" t="str">
        <x:v>Applied; remaining qualifications retained</x:v>
      </x:c>
    </x:row>
    <x:row r="228" ht="26.399999618530273" hidden="0" customHeight="1">
      <x:c r="A228" s="89" t="str">
        <x:v>ABC-038</x:v>
      </x:c>
      <x:c r="B228" s="89" t="str">
        <x:v>01b_sources!F12</x:v>
      </x:c>
      <x:c r="C228" s="89" t="str"/>
      <x:c r="D228" s="89" t="str">
        <x:v>no URL on record</x:v>
      </x:c>
      <x:c r="E228" s="89" t="str">
        <x:v>B2: every legacy source has a specific locator or explicit missing-locator state.</x:v>
      </x:c>
      <x:c r="F228" s="89" t="str">
        <x:v>Group B reconciliation</x:v>
      </x:c>
      <x:c r="G228" s="90" t="n">
        <x:v>46288</x:v>
      </x:c>
      <x:c r="H228" s="89" t="str">
        <x:v>Applied; remaining qualifications retained</x:v>
      </x:c>
    </x:row>
    <x:row r="229" ht="39.599998474121094" hidden="0" customHeight="1">
      <x:c r="A229" s="89" t="str">
        <x:v>ABC-039</x:v>
      </x:c>
      <x:c r="B229" s="89" t="str">
        <x:v>01b_sources!H12</x:v>
      </x:c>
      <x:c r="C229" s="89" t="str">
        <x:v>Legacy source entry; not reopened in this batch.</x:v>
      </x:c>
      <x:c r="D229" s="89" t="str">
        <x:v>no URL on record. Legacy attribution retained; exact supporting page not recovered. Do not treat the source name or publisher homepage as a verified citation.</x:v>
      </x:c>
      <x:c r="E229" s="89" t="str">
        <x:v>B2: explicitly retain unresolved provenance.</x:v>
      </x:c>
      <x:c r="F229" s="89" t="str">
        <x:v>Group B reconciliation</x:v>
      </x:c>
      <x:c r="G229" s="90" t="n">
        <x:v>46288</x:v>
      </x:c>
      <x:c r="H229" s="89" t="str">
        <x:v>Applied; remaining qualifications retained</x:v>
      </x:c>
    </x:row>
    <x:row r="230" ht="26.399999618530273" hidden="0" customHeight="1">
      <x:c r="A230" s="89" t="str">
        <x:v>ABC-040</x:v>
      </x:c>
      <x:c r="B230" s="89" t="str">
        <x:v>01b_sources!F13</x:v>
      </x:c>
      <x:c r="C230" s="89" t="str"/>
      <x:c r="D230" s="89" t="str">
        <x:v>https://www.underhoodservice.com/tech-tip-demystifying-honda-elds/</x:v>
      </x:c>
      <x:c r="E230" s="89" t="str">
        <x:v>B2: every legacy source has a specific locator or explicit missing-locator state.</x:v>
      </x:c>
      <x:c r="F230" s="89" t="str">
        <x:v>Group B reconciliation</x:v>
      </x:c>
      <x:c r="G230" s="90" t="n">
        <x:v>46288</x:v>
      </x:c>
      <x:c r="H230" s="89" t="str">
        <x:v>Applied; remaining qualifications retained</x:v>
      </x:c>
    </x:row>
    <x:row r="231" ht="39.599998474121094" hidden="0" customHeight="1">
      <x:c r="A231" s="89" t="str">
        <x:v>ABC-041</x:v>
      </x:c>
      <x:c r="B231" s="89" t="str">
        <x:v>01b_sources!H13</x:v>
      </x:c>
      <x:c r="C231" s="89" t="str">
        <x:v>Legacy source entry; not reopened in this batch.</x:v>
      </x:c>
      <x:c r="D231" s="89" t="str">
        <x:v>Specific source page located and checked. Supports only its stated product/year/trim scope; historical claims are not automatically verified by URL reachability.</x:v>
      </x:c>
      <x:c r="E231" s="89" t="str">
        <x:v>B2: distinguish locator checks from full claim verification.</x:v>
      </x:c>
      <x:c r="F231" s="89" t="str">
        <x:v>Group B reconciliation</x:v>
      </x:c>
      <x:c r="G231" s="90" t="n">
        <x:v>46288</x:v>
      </x:c>
      <x:c r="H231" s="89" t="str">
        <x:v>Applied; remaining qualifications retained</x:v>
      </x:c>
    </x:row>
    <x:row r="232" ht="26.399999618530273" hidden="0" customHeight="1">
      <x:c r="A232" s="89" t="str">
        <x:v>ABC-042</x:v>
      </x:c>
      <x:c r="B232" s="89" t="str">
        <x:v>01b_sources!F14</x:v>
      </x:c>
      <x:c r="C232" s="89" t="str"/>
      <x:c r="D232" s="89" t="str">
        <x:v>no URL on record</x:v>
      </x:c>
      <x:c r="E232" s="89" t="str">
        <x:v>B2: every legacy source has a specific locator or explicit missing-locator state.</x:v>
      </x:c>
      <x:c r="F232" s="89" t="str">
        <x:v>Group B reconciliation</x:v>
      </x:c>
      <x:c r="G232" s="90" t="n">
        <x:v>46288</x:v>
      </x:c>
      <x:c r="H232" s="89" t="str">
        <x:v>Applied; remaining qualifications retained</x:v>
      </x:c>
    </x:row>
    <x:row r="233" ht="39.599998474121094" hidden="0" customHeight="1">
      <x:c r="A233" s="89" t="str">
        <x:v>ABC-043</x:v>
      </x:c>
      <x:c r="B233" s="89" t="str">
        <x:v>01b_sources!H14</x:v>
      </x:c>
      <x:c r="C233" s="89" t="str">
        <x:v>Legacy source entry; not reopened in this batch.</x:v>
      </x:c>
      <x:c r="D233" s="89" t="str">
        <x:v>no URL on record. Legacy attribution retained; exact supporting page not recovered. Do not treat the source name or publisher homepage as a verified citation.</x:v>
      </x:c>
      <x:c r="E233" s="89" t="str">
        <x:v>B2: explicitly retain unresolved provenance.</x:v>
      </x:c>
      <x:c r="F233" s="89" t="str">
        <x:v>Group B reconciliation</x:v>
      </x:c>
      <x:c r="G233" s="90" t="n">
        <x:v>46288</x:v>
      </x:c>
      <x:c r="H233" s="89" t="str">
        <x:v>Applied; remaining qualifications retained</x:v>
      </x:c>
    </x:row>
    <x:row r="234" ht="26.399999618530273" hidden="0" customHeight="1">
      <x:c r="A234" s="89" t="str">
        <x:v>ABC-044</x:v>
      </x:c>
      <x:c r="B234" s="89" t="str">
        <x:v>01b_sources!F15</x:v>
      </x:c>
      <x:c r="C234" s="89" t="str"/>
      <x:c r="D234" s="89" t="str">
        <x:v>no URL on record</x:v>
      </x:c>
      <x:c r="E234" s="89" t="str">
        <x:v>B2: every legacy source has a specific locator or explicit missing-locator state.</x:v>
      </x:c>
      <x:c r="F234" s="89" t="str">
        <x:v>Group B reconciliation</x:v>
      </x:c>
      <x:c r="G234" s="90" t="n">
        <x:v>46288</x:v>
      </x:c>
      <x:c r="H234" s="89" t="str">
        <x:v>Applied; remaining qualifications retained</x:v>
      </x:c>
    </x:row>
    <x:row r="235" ht="39.599998474121094" hidden="0" customHeight="1">
      <x:c r="A235" s="89" t="str">
        <x:v>ABC-045</x:v>
      </x:c>
      <x:c r="B235" s="89" t="str">
        <x:v>01b_sources!H15</x:v>
      </x:c>
      <x:c r="C235" s="89" t="str">
        <x:v>Legacy source entry; not reopened in this batch.</x:v>
      </x:c>
      <x:c r="D235" s="89" t="str">
        <x:v>no URL on record. Legacy attribution retained; exact supporting page not recovered. Do not treat the source name or publisher homepage as a verified citation.</x:v>
      </x:c>
      <x:c r="E235" s="89" t="str">
        <x:v>B2: explicitly retain unresolved provenance.</x:v>
      </x:c>
      <x:c r="F235" s="89" t="str">
        <x:v>Group B reconciliation</x:v>
      </x:c>
      <x:c r="G235" s="90" t="n">
        <x:v>46288</x:v>
      </x:c>
      <x:c r="H235" s="89" t="str">
        <x:v>Applied; remaining qualifications retained</x:v>
      </x:c>
    </x:row>
    <x:row r="236" ht="26.399999618530273" hidden="0" customHeight="1">
      <x:c r="A236" s="89" t="str">
        <x:v>ABC-046</x:v>
      </x:c>
      <x:c r="B236" s="89" t="str">
        <x:v>01b_sources!F16</x:v>
      </x:c>
      <x:c r="C236" s="89" t="str"/>
      <x:c r="D236" s="89" t="str">
        <x:v>https://www.partinstall.com/file/general/Honda%20Dual%20Mode.pdf</x:v>
      </x:c>
      <x:c r="E236" s="89" t="str">
        <x:v>B2: every legacy source has a specific locator or explicit missing-locator state.</x:v>
      </x:c>
      <x:c r="F236" s="89" t="str">
        <x:v>Group B reconciliation</x:v>
      </x:c>
      <x:c r="G236" s="90" t="n">
        <x:v>46288</x:v>
      </x:c>
      <x:c r="H236" s="89" t="str">
        <x:v>Applied; remaining qualifications retained</x:v>
      </x:c>
    </x:row>
    <x:row r="237" ht="39.599998474121094" hidden="0" customHeight="1">
      <x:c r="A237" s="89" t="str">
        <x:v>ABC-047</x:v>
      </x:c>
      <x:c r="B237" s="89" t="str">
        <x:v>01b_sources!H16</x:v>
      </x:c>
      <x:c r="C237" s="89" t="str">
        <x:v>Legacy source entry; not reopened in this batch.</x:v>
      </x:c>
      <x:c r="D237" s="89" t="str">
        <x:v>Specific source page located and checked. Supports only its stated product/year/trim scope; historical claims are not automatically verified by URL reachability.</x:v>
      </x:c>
      <x:c r="E237" s="89" t="str">
        <x:v>B2: distinguish locator checks from full claim verification.</x:v>
      </x:c>
      <x:c r="F237" s="89" t="str">
        <x:v>Group B reconciliation</x:v>
      </x:c>
      <x:c r="G237" s="90" t="n">
        <x:v>46288</x:v>
      </x:c>
      <x:c r="H237" s="89" t="str">
        <x:v>Applied; remaining qualifications retained</x:v>
      </x:c>
    </x:row>
    <x:row r="238" ht="26.399999618530273" hidden="0" customHeight="1">
      <x:c r="A238" s="89" t="str">
        <x:v>ABC-048</x:v>
      </x:c>
      <x:c r="B238" s="89" t="str">
        <x:v>01b_sources!F17</x:v>
      </x:c>
      <x:c r="C238" s="89" t="str"/>
      <x:c r="D238" s="89" t="str">
        <x:v>no URL on record</x:v>
      </x:c>
      <x:c r="E238" s="89" t="str">
        <x:v>B2: every legacy source has a specific locator or explicit missing-locator state.</x:v>
      </x:c>
      <x:c r="F238" s="89" t="str">
        <x:v>Group B reconciliation</x:v>
      </x:c>
      <x:c r="G238" s="90" t="n">
        <x:v>46288</x:v>
      </x:c>
      <x:c r="H238" s="89" t="str">
        <x:v>Applied; remaining qualifications retained</x:v>
      </x:c>
    </x:row>
    <x:row r="239" ht="39.599998474121094" hidden="0" customHeight="1">
      <x:c r="A239" s="89" t="str">
        <x:v>ABC-049</x:v>
      </x:c>
      <x:c r="B239" s="89" t="str">
        <x:v>01b_sources!H17</x:v>
      </x:c>
      <x:c r="C239" s="89" t="str">
        <x:v>Legacy source entry; not reopened in this batch.</x:v>
      </x:c>
      <x:c r="D239" s="89" t="str">
        <x:v>no URL on record. Legacy attribution retained; exact supporting page not recovered. Do not treat the source name or publisher homepage as a verified citation.</x:v>
      </x:c>
      <x:c r="E239" s="89" t="str">
        <x:v>B2: explicitly retain unresolved provenance.</x:v>
      </x:c>
      <x:c r="F239" s="89" t="str">
        <x:v>Group B reconciliation</x:v>
      </x:c>
      <x:c r="G239" s="90" t="n">
        <x:v>46288</x:v>
      </x:c>
      <x:c r="H239" s="89" t="str">
        <x:v>Applied; remaining qualifications retained</x:v>
      </x:c>
    </x:row>
    <x:row r="240" ht="26.399999618530273" hidden="0" customHeight="1">
      <x:c r="A240" s="89" t="str">
        <x:v>ABC-050</x:v>
      </x:c>
      <x:c r="B240" s="89" t="str">
        <x:v>01b_sources!F18</x:v>
      </x:c>
      <x:c r="C240" s="89" t="str"/>
      <x:c r="D240" s="89" t="str">
        <x:v>no URL on record</x:v>
      </x:c>
      <x:c r="E240" s="89" t="str">
        <x:v>B2: every legacy source has a specific locator or explicit missing-locator state.</x:v>
      </x:c>
      <x:c r="F240" s="89" t="str">
        <x:v>Group B reconciliation</x:v>
      </x:c>
      <x:c r="G240" s="90" t="n">
        <x:v>46288</x:v>
      </x:c>
      <x:c r="H240" s="89" t="str">
        <x:v>Applied; remaining qualifications retained</x:v>
      </x:c>
    </x:row>
    <x:row r="241" ht="39.599998474121094" hidden="0" customHeight="1">
      <x:c r="A241" s="89" t="str">
        <x:v>ABC-051</x:v>
      </x:c>
      <x:c r="B241" s="89" t="str">
        <x:v>01b_sources!H18</x:v>
      </x:c>
      <x:c r="C241" s="89" t="str">
        <x:v>Legacy source entry; not reopened in this batch.</x:v>
      </x:c>
      <x:c r="D241" s="89" t="str">
        <x:v>no URL on record. Legacy attribution retained; exact supporting page not recovered. Do not treat the source name or publisher homepage as a verified citation.</x:v>
      </x:c>
      <x:c r="E241" s="89" t="str">
        <x:v>B2: explicitly retain unresolved provenance.</x:v>
      </x:c>
      <x:c r="F241" s="89" t="str">
        <x:v>Group B reconciliation</x:v>
      </x:c>
      <x:c r="G241" s="90" t="n">
        <x:v>46288</x:v>
      </x:c>
      <x:c r="H241" s="89" t="str">
        <x:v>Applied; remaining qualifications retained</x:v>
      </x:c>
    </x:row>
    <x:row r="242" ht="26.399999618530273" hidden="0" customHeight="1">
      <x:c r="A242" s="89" t="str">
        <x:v>ABC-052</x:v>
      </x:c>
      <x:c r="B242" s="89" t="str">
        <x:v>01b_sources!F19</x:v>
      </x:c>
      <x:c r="C242" s="89" t="str"/>
      <x:c r="D242" s="89" t="str">
        <x:v>no URL on record</x:v>
      </x:c>
      <x:c r="E242" s="89" t="str">
        <x:v>B2: every legacy source has a specific locator or explicit missing-locator state.</x:v>
      </x:c>
      <x:c r="F242" s="89" t="str">
        <x:v>Group B reconciliation</x:v>
      </x:c>
      <x:c r="G242" s="90" t="n">
        <x:v>46288</x:v>
      </x:c>
      <x:c r="H242" s="89" t="str">
        <x:v>Applied; remaining qualifications retained</x:v>
      </x:c>
    </x:row>
    <x:row r="243" ht="39.599998474121094" hidden="0" customHeight="1">
      <x:c r="A243" s="89" t="str">
        <x:v>ABC-053</x:v>
      </x:c>
      <x:c r="B243" s="89" t="str">
        <x:v>01b_sources!H19</x:v>
      </x:c>
      <x:c r="C243" s="89" t="str">
        <x:v>Legacy source entry; not reopened in this batch.</x:v>
      </x:c>
      <x:c r="D243" s="89" t="str">
        <x:v>no URL on record. Legacy attribution retained; exact supporting page not recovered. Do not treat the source name or publisher homepage as a verified citation.</x:v>
      </x:c>
      <x:c r="E243" s="89" t="str">
        <x:v>B2: explicitly retain unresolved provenance.</x:v>
      </x:c>
      <x:c r="F243" s="89" t="str">
        <x:v>Group B reconciliation</x:v>
      </x:c>
      <x:c r="G243" s="90" t="n">
        <x:v>46288</x:v>
      </x:c>
      <x:c r="H243" s="89" t="str">
        <x:v>Applied; remaining qualifications retained</x:v>
      </x:c>
    </x:row>
    <x:row r="244" ht="26.399999618530273" hidden="0" customHeight="1">
      <x:c r="A244" s="89" t="str">
        <x:v>ABC-054</x:v>
      </x:c>
      <x:c r="B244" s="89" t="str">
        <x:v>01b_sources!F20</x:v>
      </x:c>
      <x:c r="C244" s="89" t="str"/>
      <x:c r="D244" s="89" t="str">
        <x:v>no URL on record</x:v>
      </x:c>
      <x:c r="E244" s="89" t="str">
        <x:v>B2: every legacy source has a specific locator or explicit missing-locator state.</x:v>
      </x:c>
      <x:c r="F244" s="89" t="str">
        <x:v>Group B reconciliation</x:v>
      </x:c>
      <x:c r="G244" s="90" t="n">
        <x:v>46288</x:v>
      </x:c>
      <x:c r="H244" s="89" t="str">
        <x:v>Applied; remaining qualifications retained</x:v>
      </x:c>
    </x:row>
    <x:row r="245" ht="39.599998474121094" hidden="0" customHeight="1">
      <x:c r="A245" s="89" t="str">
        <x:v>ABC-055</x:v>
      </x:c>
      <x:c r="B245" s="89" t="str">
        <x:v>01b_sources!H20</x:v>
      </x:c>
      <x:c r="C245" s="89" t="str">
        <x:v>Legacy source entry; not reopened in this batch.</x:v>
      </x:c>
      <x:c r="D245" s="89" t="str">
        <x:v>no URL on record. Legacy attribution retained; exact supporting page not recovered. Do not treat the source name or publisher homepage as a verified citation.</x:v>
      </x:c>
      <x:c r="E245" s="89" t="str">
        <x:v>B2: explicitly retain unresolved provenance.</x:v>
      </x:c>
      <x:c r="F245" s="89" t="str">
        <x:v>Group B reconciliation</x:v>
      </x:c>
      <x:c r="G245" s="90" t="n">
        <x:v>46288</x:v>
      </x:c>
      <x:c r="H245" s="89" t="str">
        <x:v>Applied; remaining qualifications retained</x:v>
      </x:c>
    </x:row>
    <x:row r="246" ht="26.399999618530273" hidden="0" customHeight="1">
      <x:c r="A246" s="89" t="str">
        <x:v>ABC-056</x:v>
      </x:c>
      <x:c r="B246" s="89" t="str">
        <x:v>01b_sources!F21</x:v>
      </x:c>
      <x:c r="C246" s="89" t="str"/>
      <x:c r="D246" s="89" t="str">
        <x:v>no URL on record</x:v>
      </x:c>
      <x:c r="E246" s="89" t="str">
        <x:v>B2: every legacy source has a specific locator or explicit missing-locator state.</x:v>
      </x:c>
      <x:c r="F246" s="89" t="str">
        <x:v>Group B reconciliation</x:v>
      </x:c>
      <x:c r="G246" s="90" t="n">
        <x:v>46288</x:v>
      </x:c>
      <x:c r="H246" s="89" t="str">
        <x:v>Applied; remaining qualifications retained</x:v>
      </x:c>
    </x:row>
    <x:row r="247" ht="39.599998474121094" hidden="0" customHeight="1">
      <x:c r="A247" s="89" t="str">
        <x:v>ABC-057</x:v>
      </x:c>
      <x:c r="B247" s="89" t="str">
        <x:v>01b_sources!H21</x:v>
      </x:c>
      <x:c r="C247" s="89" t="str">
        <x:v>Legacy source entry; not reopened in this batch.</x:v>
      </x:c>
      <x:c r="D247" s="89" t="str">
        <x:v>no URL on record. Legacy attribution retained; exact supporting page not recovered. Do not treat the source name or publisher homepage as a verified citation.</x:v>
      </x:c>
      <x:c r="E247" s="89" t="str">
        <x:v>B2: explicitly retain unresolved provenance.</x:v>
      </x:c>
      <x:c r="F247" s="89" t="str">
        <x:v>Group B reconciliation</x:v>
      </x:c>
      <x:c r="G247" s="90" t="n">
        <x:v>46288</x:v>
      </x:c>
      <x:c r="H247" s="89" t="str">
        <x:v>Applied; remaining qualifications retained</x:v>
      </x:c>
    </x:row>
    <x:row r="248" ht="26.399999618530273" hidden="0" customHeight="1">
      <x:c r="A248" s="89" t="str">
        <x:v>ABC-058</x:v>
      </x:c>
      <x:c r="B248" s="89" t="str">
        <x:v>01b_sources!F22</x:v>
      </x:c>
      <x:c r="C248" s="89" t="str"/>
      <x:c r="D248" s="89" t="str">
        <x:v>no URL on record</x:v>
      </x:c>
      <x:c r="E248" s="89" t="str">
        <x:v>B2: every legacy source has a specific locator or explicit missing-locator state.</x:v>
      </x:c>
      <x:c r="F248" s="89" t="str">
        <x:v>Group B reconciliation</x:v>
      </x:c>
      <x:c r="G248" s="90" t="n">
        <x:v>46288</x:v>
      </x:c>
      <x:c r="H248" s="89" t="str">
        <x:v>Applied; remaining qualifications retained</x:v>
      </x:c>
    </x:row>
    <x:row r="249" ht="39.599998474121094" hidden="0" customHeight="1">
      <x:c r="A249" s="89" t="str">
        <x:v>ABC-059</x:v>
      </x:c>
      <x:c r="B249" s="89" t="str">
        <x:v>01b_sources!H22</x:v>
      </x:c>
      <x:c r="C249" s="89" t="str">
        <x:v>Legacy source entry; not reopened in this batch.</x:v>
      </x:c>
      <x:c r="D249" s="89" t="str">
        <x:v>no URL on record. Legacy attribution retained; exact supporting page not recovered. Do not treat the source name or publisher homepage as a verified citation.</x:v>
      </x:c>
      <x:c r="E249" s="89" t="str">
        <x:v>B2: explicitly retain unresolved provenance.</x:v>
      </x:c>
      <x:c r="F249" s="89" t="str">
        <x:v>Group B reconciliation</x:v>
      </x:c>
      <x:c r="G249" s="90" t="n">
        <x:v>46288</x:v>
      </x:c>
      <x:c r="H249" s="89" t="str">
        <x:v>Applied; remaining qualifications retained</x:v>
      </x:c>
    </x:row>
    <x:row r="250" ht="26.399999618530273" hidden="0" customHeight="1">
      <x:c r="A250" s="89" t="str">
        <x:v>ABC-060</x:v>
      </x:c>
      <x:c r="B250" s="89" t="str">
        <x:v>01b_sources!F23</x:v>
      </x:c>
      <x:c r="C250" s="89" t="str"/>
      <x:c r="D250" s="89" t="str">
        <x:v>no URL on record</x:v>
      </x:c>
      <x:c r="E250" s="89" t="str">
        <x:v>B2: every legacy source has a specific locator or explicit missing-locator state.</x:v>
      </x:c>
      <x:c r="F250" s="89" t="str">
        <x:v>Group B reconciliation</x:v>
      </x:c>
      <x:c r="G250" s="90" t="n">
        <x:v>46288</x:v>
      </x:c>
      <x:c r="H250" s="89" t="str">
        <x:v>Applied; remaining qualifications retained</x:v>
      </x:c>
    </x:row>
    <x:row r="251" ht="39.599998474121094" hidden="0" customHeight="1">
      <x:c r="A251" s="89" t="str">
        <x:v>ABC-061</x:v>
      </x:c>
      <x:c r="B251" s="89" t="str">
        <x:v>01b_sources!H23</x:v>
      </x:c>
      <x:c r="C251" s="89" t="str">
        <x:v>Legacy source entry; not reopened in this batch.</x:v>
      </x:c>
      <x:c r="D251" s="89" t="str">
        <x:v>no URL on record. Legacy attribution retained; exact supporting page not recovered. Do not treat the source name or publisher homepage as a verified citation.</x:v>
      </x:c>
      <x:c r="E251" s="89" t="str">
        <x:v>B2: explicitly retain unresolved provenance.</x:v>
      </x:c>
      <x:c r="F251" s="89" t="str">
        <x:v>Group B reconciliation</x:v>
      </x:c>
      <x:c r="G251" s="90" t="n">
        <x:v>46288</x:v>
      </x:c>
      <x:c r="H251" s="89" t="str">
        <x:v>Applied; remaining qualifications retained</x:v>
      </x:c>
    </x:row>
    <x:row r="252" ht="26.399999618530273" hidden="0" customHeight="1">
      <x:c r="A252" s="89" t="str">
        <x:v>ABC-062</x:v>
      </x:c>
      <x:c r="B252" s="89" t="str">
        <x:v>01b_sources!B13</x:v>
      </x:c>
      <x:c r="C252" s="89" t="str">
        <x:v>UnderhoodService - Honda ELD/charging</x:v>
      </x:c>
      <x:c r="D252" s="89" t="str">
        <x:v>UnderhoodService: Tech Tip: Demystifying Honda ELDs (15 Nov 2010)</x:v>
      </x:c>
      <x:c r="E252" s="89" t="str">
        <x:v>B2: identify the specific retrieved article.</x:v>
      </x:c>
      <x:c r="F252" s="89" t="str">
        <x:v>Group B reconciliation</x:v>
      </x:c>
      <x:c r="G252" s="90" t="n">
        <x:v>46288</x:v>
      </x:c>
      <x:c r="H252" s="89" t="str">
        <x:v>Applied; remaining qualifications retained</x:v>
      </x:c>
    </x:row>
    <x:row r="253" ht="79.19999694824219" hidden="0" customHeight="1">
      <x:c r="A253" s="89" t="str">
        <x:v>ABC-063</x:v>
      </x:c>
      <x:c r="B253" s="89" t="str">
        <x:v>01b_sources!H13</x:v>
      </x:c>
      <x:c r="C253" s="89" t="str">
        <x:v>Specific source page located and checked. Supports only its stated product/year/trim scope; historical claims are not automatically verified by URL reachability.</x:v>
      </x:c>
      <x:c r="D253" s="89" t="str">
        <x:v>General 2010 ELD background article. Does not establish exact 2018/2023 Civic charging architecture or setpoints.</x:v>
      </x:c>
      <x:c r="E253" s="89" t="str">
        <x:v>B2: preserve source scope.</x:v>
      </x:c>
      <x:c r="F253" s="89" t="str">
        <x:v>Group B reconciliation</x:v>
      </x:c>
      <x:c r="G253" s="90" t="n">
        <x:v>46288</x:v>
      </x:c>
      <x:c r="H253" s="89" t="str">
        <x:v>Applied; remaining qualifications retained</x:v>
      </x:c>
    </x:row>
    <x:row r="254" ht="26.399999618530273" hidden="0" customHeight="1">
      <x:c r="A254" s="89" t="str">
        <x:v>ABC-064</x:v>
      </x:c>
      <x:c r="B254" s="89" t="str">
        <x:v>01b_sources!B16</x:v>
      </x:c>
      <x:c r="C254" s="89" t="str">
        <x:v>partinstall.com - Honda Dual-Mode Charging System</x:v>
      </x:c>
      <x:c r="D254" s="89" t="str">
        <x:v>Honda Dual Mode Charging System: Honda / Acura Model Years 1990–2012 (partinstall.com)</x:v>
      </x:c>
      <x:c r="E254" s="89" t="str">
        <x:v>B2: record document scope from its title page.</x:v>
      </x:c>
      <x:c r="F254" s="89" t="str">
        <x:v>Group B reconciliation</x:v>
      </x:c>
      <x:c r="G254" s="90" t="n">
        <x:v>46288</x:v>
      </x:c>
      <x:c r="H254" s="89" t="str">
        <x:v>Applied; remaining qualifications retained</x:v>
      </x:c>
    </x:row>
    <x:row r="255" ht="26.399999618530273" hidden="0" customHeight="1">
      <x:c r="A255" s="89" t="str">
        <x:v>ABC-065</x:v>
      </x:c>
      <x:c r="B255" s="89" t="str">
        <x:v>01b_sources!C16</x:v>
      </x:c>
      <x:c r="C255" s="89" t="str">
        <x:v>Honda service document</x:v>
      </x:c>
      <x:c r="D255" s="89" t="str">
        <x:v>Technical guide hosted by third party; OEM authorship unverified</x:v>
      </x:c>
      <x:c r="E255" s="89" t="str">
        <x:v>B2: host/title do not establish OEM publication.</x:v>
      </x:c>
      <x:c r="F255" s="89" t="str">
        <x:v>Group B reconciliation</x:v>
      </x:c>
      <x:c r="G255" s="90" t="n">
        <x:v>46288</x:v>
      </x:c>
      <x:c r="H255" s="89" t="str">
        <x:v>Applied; remaining qualifications retained</x:v>
      </x:c>
    </x:row>
    <x:row r="256" ht="26.399999618530273" hidden="0" customHeight="1">
      <x:c r="A256" s="89" t="str">
        <x:v>ABC-066</x:v>
      </x:c>
      <x:c r="B256" s="89" t="str">
        <x:v>01b_sources!D16</x:v>
      </x:c>
      <x:c r="C256" s="89" t="str">
        <x:v>A</x:v>
      </x:c>
      <x:c r="D256" s="89" t="str">
        <x:v>C</x:v>
      </x:c>
      <x:c r="E256" s="89" t="str">
        <x:v>B2: previously assigned OEM-level strength was unsupported.</x:v>
      </x:c>
      <x:c r="F256" s="89" t="str">
        <x:v>Group B reconciliation</x:v>
      </x:c>
      <x:c r="G256" s="90" t="n">
        <x:v>46288</x:v>
      </x:c>
      <x:c r="H256" s="89" t="str">
        <x:v>Applied; remaining qualifications retained</x:v>
      </x:c>
    </x:row>
    <x:row r="257" ht="79.19999694824219" hidden="0" customHeight="1">
      <x:c r="A257" s="89" t="str">
        <x:v>ABC-067</x:v>
      </x:c>
      <x:c r="B257" s="89" t="str">
        <x:v>01b_sources!H16</x:v>
      </x:c>
      <x:c r="C257" s="89" t="str">
        <x:v>Specific source page located and checked. Supports only its stated product/year/trim scope; historical claims are not automatically verified by URL reachability.</x:v>
      </x:c>
      <x:c r="D257" s="89" t="str">
        <x:v>Title page explicitly limits coverage to Honda/Acura 1990–2012. Not exact-year evidence for the 2018/2023 Civic rows. OEM authorship not established.</x:v>
      </x:c>
      <x:c r="E257" s="89" t="str">
        <x:v>B2: discovered source-scope mismatch.</x:v>
      </x:c>
      <x:c r="F257" s="89" t="str">
        <x:v>Group B reconciliation</x:v>
      </x:c>
      <x:c r="G257" s="90" t="n">
        <x:v>46288</x:v>
      </x:c>
      <x:c r="H257" s="89" t="str">
        <x:v>Applied; remaining qualifications retained</x:v>
      </x:c>
    </x:row>
    <x:row r="258" ht="39.599998474121094" hidden="0" customHeight="1">
      <x:c r="A258" s="89" t="str">
        <x:v>ABC-068</x:v>
      </x:c>
      <x:c r="B258" s="89" t="str">
        <x:v>01b_sources!E8</x:v>
      </x:c>
      <x:c r="C258" s="89" t="str">
        <x:v>51R long-standing standard; H5(47) for Type R 2019-2020</x:v>
      </x:c>
      <x:c r="D258" s="89" t="str">
        <x:v>Current page table associates Type R H5 (47) with 2020–2021; prior workbook attributed 2019–2020. Preserve this scope discrepancy; no confirmed 2019 fitment follows.</x:v>
      </x:c>
      <x:c r="E258" s="89" t="str">
        <x:v>B1: exact linked page differs from historical attribution.</x:v>
      </x:c>
      <x:c r="F258" s="89" t="str">
        <x:v>Group B reconciliation</x:v>
      </x:c>
      <x:c r="G258" s="90" t="n">
        <x:v>46288</x:v>
      </x:c>
      <x:c r="H258" s="89" t="str">
        <x:v>Applied; remaining qualifications retained</x:v>
      </x:c>
    </x:row>
    <x:row r="259" ht="171.60000610351562" hidden="0" customHeight="1">
      <x:c r="A259" s="89" t="str">
        <x:v>ABC-069</x:v>
      </x:c>
      <x:c r="B259" s="89" t="str">
        <x:v>02_battery_specifications!AX3</x:v>
      </x:c>
      <x:c r="C259" s="89" t="str">
        <x:v>hondapartsnow.com/genuine/honda~battery~31500-sr1-a02.html · hondaautomotiveparts.com (400 CCA, Group 51R) · batteryequivalents.com/group-51-and-51r-batteries...html · redwaypower.com/bci-group-51-and-51r-batteries/</x:v>
      </x:c>
      <x:c r="D259" s="89" t="str">
        <x:v>https://www.hondapartsnow.com/genuine/honda~battery~31500-sr1-a02.html
https://www.hondaautomotiveparts.com/oem-parts/honda-vehicle-battery-local-pick-up-only-31500sr1100m
https://www.batteryequivalents.com/group-51-and-51r-batteries-dimensions-features-and-recommendations.html
https://www.redwaypower.com/bci-group-51-and-51r-batteries/
https://services.firestonecompleteautocare.com/honda/civic-2016-2021/
https://www.autopadre.com/battery-size/honda-civic
https://www.optimabatteries.com/experience/blog/what-size-battery-fits-my-honda-civic</x:v>
      </x:c>
      <x:c r="E259" s="89" t="str">
        <x:v>B1: replace truncated/root locators with specific source URLs.</x:v>
      </x:c>
      <x:c r="F259" s="89" t="str">
        <x:v>Group B reconciliation</x:v>
      </x:c>
      <x:c r="G259" s="90" t="n">
        <x:v>46288</x:v>
      </x:c>
      <x:c r="H259" s="89" t="str">
        <x:v>Applied; remaining qualifications retained</x:v>
      </x:c>
    </x:row>
    <x:row r="260" ht="66" hidden="0" customHeight="1">
      <x:c r="A260" s="89" t="str">
        <x:v>ABC-070</x:v>
      </x:c>
      <x:c r="B260" s="89" t="str">
        <x:v>02_battery_specifications!AX4</x:v>
      </x:c>
      <x:c r="C260" s="89" t="str">
        <x:v>firestonecompleteautocare.com/honda/civic-2016-2021/ · revcivic.com/honda-civic-battery-group-size-guide...
S1 Firestone; S5 RevCivic</x:v>
      </x:c>
      <x:c r="D260" s="89" t="str">
        <x:v>https://services.firestonecompleteautocare.com/honda/civic-2016-2021/
https://revcivic.com/honda-civic-battery-group-size-guide-exact-sizes-by-year-trim/</x:v>
      </x:c>
      <x:c r="E260" s="89" t="str">
        <x:v>B1: replace truncated/root locators with specific source URLs.</x:v>
      </x:c>
      <x:c r="F260" s="89" t="str">
        <x:v>Group B reconciliation</x:v>
      </x:c>
      <x:c r="G260" s="90" t="n">
        <x:v>46288</x:v>
      </x:c>
      <x:c r="H260" s="89" t="str">
        <x:v>Applied; remaining qualifications retained</x:v>
      </x:c>
    </x:row>
    <x:row r="261" ht="158.39999389648438" hidden="0" customHeight="1">
      <x:c r="A261" s="89" t="str">
        <x:v>ABC-071</x:v>
      </x:c>
      <x:c r="B261" s="89" t="str">
        <x:v>02_battery_specifications!AX5</x:v>
      </x:c>
      <x:c r="C261" s="89" t="str">
        <x:v>firestonecompleteautocare.com/honda/civic-2016-2021/ · hondatheotherside.com/honda-civic-battery-size/
https://www.hondaautomotiveparts.com/v-2019-honda-civic--type-r--2-0l-l4-gas/electrical--battery
S1 Firestone; S4 HondaTheOtherSide; S5 RevCivic; S28 Honda Automotive Parts</x:v>
      </x:c>
      <x:c r="D261" s="89" t="str">
        <x:v>https://services.firestonecompleteautocare.com/honda/civic-2016-2021/
https://hondatheotherside.com/honda-civic-battery-size/
https://revcivic.com/honda-civic-battery-group-size-guide-exact-sizes-by-year-trim/
https://www.hondaautomotiveparts.com/v-2019-honda-civic--type-r--2-0l-l4-gas/electrical--battery</x:v>
      </x:c>
      <x:c r="E261" s="89" t="str">
        <x:v>B1: replace truncated/root locators with specific source URLs.</x:v>
      </x:c>
      <x:c r="F261" s="89" t="str">
        <x:v>Group B reconciliation</x:v>
      </x:c>
      <x:c r="G261" s="90" t="n">
        <x:v>46288</x:v>
      </x:c>
      <x:c r="H261" s="89" t="str">
        <x:v>Applied; remaining qualifications retained</x:v>
      </x:c>
    </x:row>
    <x:row r="262" ht="158.39999389648438" hidden="0" customHeight="1">
      <x:c r="A262" s="89" t="str">
        <x:v>ABC-072</x:v>
      </x:c>
      <x:c r="B262" s="89" t="str">
        <x:v>02_battery_specifications!AX6</x:v>
      </x:c>
      <x:c r="C262" s="89" t="str">
        <x:v>hondapartsnow.com/genuine/honda~battery~h5efb~31500-tla-efb100m.html · autozone.com/.../honda/civic/2022 (H5-EFB 650 CCA; H5-AGMEL 680 CCA) · batteryequivalents.com/group-47-h5-l2-55l2-batteries.html · crvownersclub.com (OE 31500-TLA-A11 label 450 CCA)</x:v>
      </x:c>
      <x:c r="D262" s="89" t="str">
        <x:v>https://www.hondapartsnow.com/genuine/honda~battery~h5efb~31500-tla-efb100m.html
https://www.autozone.com/batteries-starting-and-charging/battery/honda/civic/2022
https://www.batteryequivalents.com/group-47-h5-l2-55l2-batteries.html
https://shop.advanceautoparts.com/find/2023-honda-civic-batteries
https://www.optimabatteries.com/experience/blog/what-size-battery-fits-my-honda-civic
https://revcivic.com/honda-civic-battery-group-size-guide-exact-sizes-by-year-trim/</x:v>
      </x:c>
      <x:c r="E262" s="89" t="str">
        <x:v>B1: replace truncated/root locators with specific source URLs.</x:v>
      </x:c>
      <x:c r="F262" s="89" t="str">
        <x:v>Group B reconciliation</x:v>
      </x:c>
      <x:c r="G262" s="90" t="n">
        <x:v>46288</x:v>
      </x:c>
      <x:c r="H262" s="89" t="str">
        <x:v>Applied; remaining qualifications retained</x:v>
      </x:c>
    </x:row>
    <x:row r="263" ht="105.5999984741211" hidden="0" customHeight="1">
      <x:c r="A263" s="89" t="str">
        <x:v>ABC-073</x:v>
      </x:c>
      <x:c r="B263" s="89" t="str">
        <x:v>02_battery_specifications!AX7</x:v>
      </x:c>
      <x:c r="C263" s="89" t="str">
        <x:v>optimabatteries.com/experience/blog/what-size-battery-fits-my-honda-civic
https://www.hondaautomotiveparts.com/v-2023-honda-civic--si--1-5l-l4-gas/electrical--battery
S6 Optima; S5 RevCivic; S27 Honda Automotive Parts</x:v>
      </x:c>
      <x:c r="D263" s="89" t="str">
        <x:v>https://www.optimabatteries.com/experience/blog/what-size-battery-fits-my-honda-civic
https://revcivic.com/honda-civic-battery-group-size-guide-exact-sizes-by-year-trim/
https://www.hondaautomotiveparts.com/v-2023-honda-civic--si--1-5l-l4-gas/electrical--battery</x:v>
      </x:c>
      <x:c r="E263" s="89" t="str">
        <x:v>B1: replace truncated/root locators with specific source URLs.</x:v>
      </x:c>
      <x:c r="F263" s="89" t="str">
        <x:v>Group B reconciliation</x:v>
      </x:c>
      <x:c r="G263" s="90" t="n">
        <x:v>46288</x:v>
      </x:c>
      <x:c r="H263" s="89" t="str">
        <x:v>Applied; remaining qualifications retained</x:v>
      </x:c>
    </x:row>
    <x:row r="264" ht="52.79999923706055" hidden="0" customHeight="1">
      <x:c r="A264" s="89" t="str">
        <x:v>ABC-074</x:v>
      </x:c>
      <x:c r="B264" s="89" t="str">
        <x:v>02_battery_specifications!AX8</x:v>
      </x:c>
      <x:c r="C264" s="89" t="str">
        <x:v>revcivic.com/honda-civic-battery-group-size-guide-exact-sizes-by-year-trim/
S5 RevCivic; S6 Optima</x:v>
      </x:c>
      <x:c r="D264" s="89" t="str">
        <x:v>https://revcivic.com/honda-civic-battery-group-size-guide-exact-sizes-by-year-trim/
https://www.optimabatteries.com/experience/blog/what-size-battery-fits-my-honda-civic</x:v>
      </x:c>
      <x:c r="E264" s="89" t="str">
        <x:v>B1: replace truncated/root locators with specific source URLs.</x:v>
      </x:c>
      <x:c r="F264" s="89" t="str">
        <x:v>Group B reconciliation</x:v>
      </x:c>
      <x:c r="G264" s="90" t="n">
        <x:v>46288</x:v>
      </x:c>
      <x:c r="H264" s="89" t="str">
        <x:v>Applied; remaining qualifications retained</x:v>
      </x:c>
    </x:row>
    <x:row r="265" ht="158.39999389648438" hidden="0" customHeight="1">
      <x:c r="A265" s="89" t="str">
        <x:v>ABC-075</x:v>
      </x:c>
      <x:c r="B265" s="89" t="str">
        <x:v>02_battery_specifications!AY6</x:v>
      </x:c>
      <x:c r="C265" s="89" t="str">
        <x:v>OE PN + H5 group verified (Honda catalog + AutoZone fitment). OE CCA ~450 is owner-reported off the sibling PN's label; aftermarket H5 EFB/AGM are rated 650/680 - kept separate. Group vs 51R remains a logged conflict. Previous status detail: Conflicting group (H5 vs 51R); OE PN verified; CCA OEM vs aftermarket separated.</x:v>
      </x:c>
      <x:c r="D265" s="89" t="str">
        <x:v>OE PN + H5 group verified (Honda catalog + AutoZone fitment). OE CCA ~450 is owner-reported off the sibling PN's label; aftermarket H5 EFB/AGM are rated 650/680 - kept separate. Group vs 51R remains a logged conflict. Previous status detail: Conflicting group (H5 vs 51R); OE PN verified; CCA OEM vs aftermarket separated. Locator gap retained: the legacy owner-reported ~450 CCA claim for sibling 31500-TLA-A11 cites CRVOwnersClub, but no exact thread URL is on record. The homepage has been removed from source_links; this claim is not freshly verified.</x:v>
      </x:c>
      <x:c r="E265" s="89" t="str">
        <x:v>B1: preserve unsupported claim while removing a non-evidence homepage.</x:v>
      </x:c>
      <x:c r="F265" s="89" t="str">
        <x:v>Group B reconciliation</x:v>
      </x:c>
      <x:c r="G265" s="90" t="n">
        <x:v>46288</x:v>
      </x:c>
      <x:c r="H265" s="89" t="str">
        <x:v>Applied; remaining qualifications retained</x:v>
      </x:c>
    </x:row>
    <x:row r="266" ht="462" hidden="0" customHeight="1">
      <x:c r="A266" s="89" t="str">
        <x:v>ABC-076</x:v>
      </x:c>
      <x:c r="B266" s="89" t="str">
        <x:v>02_battery_specifications!AY10</x:v>
      </x:c>
      <x:c r="C266" s="89" t="str">
        <x:v>UPGRADED using the uploaded Honda ERG (Tier A, manufacturer). Newly OEM-verified: cell/module split (36 x 2), full chemistry composition, LIQUID cooling (1.1 L dedicated HV coolant), contactor/BMS crash behaviour, and the retained safety/service/discharge extract (S20 Canadian Version 1 only; not revalidated against S30). STILL not published anywhere in the ERG: usable energy, max charge current, max discharge current, C-rate, SOC operating window, depth of discharge and cycle life - these remain service-manual items. Note the ERG states pack voltage and cell count but NOT kWh; the 1.06 kWh figure comes from Honda's newsroom, so the two sources are complementary rather than conflicting. Previous status detail: OEM-verified (Honda ERG) - internal limits still unavailable. Source identity correction: S20 = Canadian V1 26065 (2406), 2025. S30 = American V2 26065 (2506), 2025–26. Existing S20-derived data has not been silently migrated to S30. See AU9 for the neutral-shift disagreement.</x:v>
      </x:c>
      <x:c r="D266" s="89" t="str">
        <x:v>UPGRADED using the uploaded Honda ERG (Tier A, manufacturer). Newly OEM-verified: cell/module split (36 x 2), full chemistry composition, LIQUID cooling (1.1 L dedicated HV coolant), contactor/BMS crash behaviour, and the retained safety/service/discharge extract (S20 Canadian Version 1 only; not revalidated against S30). STILL not published anywhere in the ERG: usable energy, max charge current, max discharge current, C-rate, SOC operating window, depth of discharge and cycle life - these remain service-manual items. Note the ERG states pack voltage and cell count but NOT kWh; the 1.06 kWh figure comes from Honda's newsroom, so the two sources are complementary rather than conflicting. Previous status detail: OEM-verified (Honda ERG) - internal limits still unavailable. Source identity correction: S20 = Canadian V1 26065 (2406), 2025. S30 = American V2 26065 (2506), 2025–26. Existing S20-derived data has not been silently migrated to S30. See AU9 for the neutral-shift disagreement. Locator gaps retained: no exact Honda Newsroom URL is on record for the 1.06 kWh claim (S16), and no exact Go-Parts URL is on record for the replacement assembly claim (S15). Those legacy attributions remain unverified in this pass; homepages are not supporting citations.</x:v>
      </x:c>
      <x:c r="E266" s="89" t="str">
        <x:v>B1: retain claims and expose missing precise evidence.</x:v>
      </x:c>
      <x:c r="F266" s="89" t="str">
        <x:v>Group B reconciliation</x:v>
      </x:c>
      <x:c r="G266" s="90" t="n">
        <x:v>46288</x:v>
      </x:c>
      <x:c r="H266" s="89" t="str">
        <x:v>Applied; remaining qualifications retained</x:v>
      </x:c>
    </x:row>
    <x:row r="267" ht="316.79998779296875" hidden="0" customHeight="1">
      <x:c r="A267" s="89" t="str">
        <x:v>ABC-077</x:v>
      </x:c>
      <x:c r="B267" s="89" t="str">
        <x:v>02_battery_specifications!AY5</x:v>
      </x:c>
      <x:c r="C267" s="89" t="str">
        <x:v>Prior workbook evidence restored: Firestone (S1) was attributed H5/48 and approximately 600–700 CCA for Type R; HondaTheOtherSide (S4) was attributed H5 (47); RevCivic (S5) was attributed H5/H6 performance cases. Preserve the ambiguous H5/48 wording as a source claim, not an equivalence. S28 dealer candidate also has a generic 1.5L description conflict. Historical source attributions are retained from the original workbook, not freshly reverified. Confirm exact VIN/installed label before accepting fitment. Previous note: 2019 Type R listing only. Generic description contains 1.5L text. No ratings inferred; prior conflicting size/CCA claims retained in source audit.</x:v>
      </x:c>
      <x:c r="D267" s="89" t="str">
        <x:v>Prior workbook evidence restored: Firestone (S1) was attributed H5/48 and approximately 600–700 CCA for Type R; HondaTheOtherSide (S4) was attributed H5 (47); RevCivic (S5) was attributed H5/H6 performance cases. Preserve the ambiguous H5/48 wording as a source claim, not an equivalence. S28 dealer candidate also has a generic 1.5L description conflict. Historical source attributions are retained from the original workbook, not freshly reverified. Confirm exact VIN/installed label before accepting fitment. Previous note: 2019 Type R listing only. Generic description contains 1.5L text. No ratings inferred; prior conflicting size/CCA claims retained in source audit. Current S4 page associates its Type R H5 table entry with 2020–2021, not the 2019–2020 range recorded historically. S5 itself mixes a 10th-generation 51R table with broader H6 performance prose. These limitations do not resolve 2019 Type R fitment.</x:v>
      </x:c>
      <x:c r="E267" s="89" t="str">
        <x:v>B1: reflect the scope of repaired source links.</x:v>
      </x:c>
      <x:c r="F267" s="89" t="str">
        <x:v>Group B reconciliation</x:v>
      </x:c>
      <x:c r="G267" s="90" t="n">
        <x:v>46288</x:v>
      </x:c>
      <x:c r="H267" s="89" t="str">
        <x:v>Applied; remaining qualifications retained</x:v>
      </x:c>
    </x:row>
    <x:row r="268" ht="237.60000610351562" hidden="0" customHeight="1">
      <x:c r="A268" s="89" t="str">
        <x:v>ABC-078</x:v>
      </x:c>
      <x:c r="B268" s="89" t="str">
        <x:v>02_battery_specifications!AY4</x:v>
      </x:c>
      <x:c r="C268" s="89" t="str">
        <x:v>Prior workbook evidence restored: Firestone (S1) gives the standard 51R claim; RevCivic (S5) describes larger Si/Type R cases. The Firestone standard-trim claim does not establish Si fitment. Exact 2019 Si group and CCA remain unresolved. Historical source attributions are retained from the original workbook, not freshly reverified. Confirm exact VIN/installed label before accepting fitment. Previous note: Standard sources point to 51R, but at least one guide claims Si/Type R use a larger case. Conflicting - not resolved.</x:v>
      </x:c>
      <x:c r="D268" s="89" t="str">
        <x:v>Prior workbook evidence restored: Firestone (S1) gives the standard 51R claim; RevCivic (S5) describes larger Si/Type R cases. The Firestone standard-trim claim does not establish Si fitment. Exact 2019 Si group and CCA remain unresolved. Historical source attributions are retained from the original workbook, not freshly reverified. Confirm exact VIN/installed label before accepting fitment. Previous note: Standard sources point to 51R, but at least one guide claims Si/Type R use a larger case. Conflicting - not resolved. S5 has internal scope tension: its 2016–2021 table includes Si/Type R under 51R while its general performance prose calls for H6. Preserve this distinction; neither establishes an independently verified 2019 Si fitment.</x:v>
      </x:c>
      <x:c r="E268" s="89" t="str">
        <x:v>B1: avoid presenting generic prose as exact-trim evidence.</x:v>
      </x:c>
      <x:c r="F268" s="89" t="str">
        <x:v>Group B reconciliation</x:v>
      </x:c>
      <x:c r="G268" s="90" t="n">
        <x:v>46288</x:v>
      </x:c>
      <x:c r="H268" s="89" t="str">
        <x:v>Applied; remaining qualifications retained</x:v>
      </x:c>
    </x:row>
    <x:row r="269" ht="52.79999923706055" hidden="0" customHeight="1">
      <x:c r="A269" s="89" t="str">
        <x:v>ABC-079</x:v>
      </x:c>
      <x:c r="B269" s="89" t="str">
        <x:v>01_vehicles!AO11</x:v>
      </x:c>
      <x:c r="C269" s="89" t="str">
        <x:v>S15;S16;S17 (HV pack + 12V aux)</x:v>
      </x:c>
      <x:c r="D269" s="89" t="str">
        <x:v>S15;S16;S17 (legacy HV/product attributions; no URL on record); S20 (Canadian ERG Version 1, 2025); S30 (American ERG Version 2, 2025–26). S20 and S30 are distinct documents.</x:v>
      </x:c>
      <x:c r="E269" s="89" t="str">
        <x:v>B3: add S20 to vehicle 910027 and distinguish guide versions.</x:v>
      </x:c>
      <x:c r="F269" s="89" t="str">
        <x:v>Group B reconciliation</x:v>
      </x:c>
      <x:c r="G269" s="90" t="n">
        <x:v>46288</x:v>
      </x:c>
      <x:c r="H269" s="89" t="str">
        <x:v>Applied; remaining qualifications retained</x:v>
      </x:c>
    </x:row>
    <x:row r="270" ht="26.399999618530273" hidden="0" customHeight="1">
      <x:c r="A270" s="89" t="str">
        <x:v>ABC-080</x:v>
      </x:c>
      <x:c r="B270" s="89" t="str">
        <x:v>01_vehicles!N3</x:v>
      </x:c>
      <x:c r="C270" s="89" t="str">
        <x:v>2016-2021</x:v>
      </x:c>
      <x:c r="D270" s="89" t="str">
        <x:v>2018</x:v>
      </x:c>
      <x:c r="E270" s="89" t="str">
        <x:v>C1: record scope narrowed to its existing linked configuration year.</x:v>
      </x:c>
      <x:c r="F270" s="89" t="str">
        <x:v>Group C reconciliation</x:v>
      </x:c>
      <x:c r="G270" s="90" t="n">
        <x:v>46288</x:v>
      </x:c>
      <x:c r="H270" s="89" t="str">
        <x:v>Applied; remaining qualifications retained</x:v>
      </x:c>
    </x:row>
    <x:row r="271" ht="118.80000305175781" hidden="0" customHeight="1">
      <x:c r="A271" s="89" t="str">
        <x:v>ABC-081</x:v>
      </x:c>
      <x:c r="B271" s="89" t="str">
        <x:v>01_vehicles!AQ3</x:v>
      </x:c>
      <x:c r="C271" s="89" t="str">
        <x:v>Legacy research; not revalidated in this batch;  CCA correction: this vehicle sheet was stale; 410–450 was incorrectly labelled OE. B-CIV-001 separates OEM ~400 and aftermarket ~410–450. S31 independently states 400 CCA for the named service product.</x:v>
      </x:c>
      <x:c r="D271" s="89" t="str">
        <x:v>Legacy research; not revalidated in this batch;  CCA correction: this vehicle sheet was stale; 410–450 was incorrectly labelled OE. B-CIV-001 separates OEM ~400 and aftermarket ~410–450. S31 independently states 400 CCA for the named service product. Scope reconciliation: model_year_range 2016-2021 narrowed to 2018. Broader model-generation/source coverage does not establish every specification across that range.</x:v>
      </x:c>
      <x:c r="E271" s="89" t="str">
        <x:v>C1: preserve the old scope and explain the new boundary.</x:v>
      </x:c>
      <x:c r="F271" s="89" t="str">
        <x:v>Group C reconciliation</x:v>
      </x:c>
      <x:c r="G271" s="90" t="n">
        <x:v>46288</x:v>
      </x:c>
      <x:c r="H271" s="89" t="str">
        <x:v>Applied; remaining qualifications retained</x:v>
      </x:c>
    </x:row>
    <x:row r="272" ht="26.399999618530273" hidden="0" customHeight="1">
      <x:c r="A272" s="89" t="str">
        <x:v>ABC-082</x:v>
      </x:c>
      <x:c r="B272" s="89" t="str">
        <x:v>01_vehicles!N4</x:v>
      </x:c>
      <x:c r="C272" s="89" t="str">
        <x:v>2016-2021</x:v>
      </x:c>
      <x:c r="D272" s="89" t="str">
        <x:v>2018</x:v>
      </x:c>
      <x:c r="E272" s="89" t="str">
        <x:v>C1: record scope narrowed to its existing linked configuration year.</x:v>
      </x:c>
      <x:c r="F272" s="89" t="str">
        <x:v>Group C reconciliation</x:v>
      </x:c>
      <x:c r="G272" s="90" t="n">
        <x:v>46288</x:v>
      </x:c>
      <x:c r="H272" s="89" t="str">
        <x:v>Applied; remaining qualifications retained</x:v>
      </x:c>
    </x:row>
    <x:row r="273" ht="118.80000305175781" hidden="0" customHeight="1">
      <x:c r="A273" s="89" t="str">
        <x:v>ABC-083</x:v>
      </x:c>
      <x:c r="B273" s="89" t="str">
        <x:v>01_vehicles!AQ4</x:v>
      </x:c>
      <x:c r="C273" s="89" t="str">
        <x:v>Legacy research; not revalidated in this batch;  CCA correction: this vehicle sheet was stale; 410–450 was incorrectly labelled OE. B-CIV-001 separates OEM ~400 and aftermarket ~410–450. S31 independently states 400 CCA for the named service product.</x:v>
      </x:c>
      <x:c r="D273" s="89" t="str">
        <x:v>Legacy research; not revalidated in this batch;  CCA correction: this vehicle sheet was stale; 410–450 was incorrectly labelled OE. B-CIV-001 separates OEM ~400 and aftermarket ~410–450. S31 independently states 400 CCA for the named service product. Scope reconciliation: model_year_range 2016-2021 narrowed to 2018. Broader model-generation/source coverage does not establish every specification across that range.</x:v>
      </x:c>
      <x:c r="E273" s="89" t="str">
        <x:v>C1: preserve the old scope and explain the new boundary.</x:v>
      </x:c>
      <x:c r="F273" s="89" t="str">
        <x:v>Group C reconciliation</x:v>
      </x:c>
      <x:c r="G273" s="90" t="n">
        <x:v>46288</x:v>
      </x:c>
      <x:c r="H273" s="89" t="str">
        <x:v>Applied; remaining qualifications retained</x:v>
      </x:c>
    </x:row>
    <x:row r="274" ht="26.399999618530273" hidden="0" customHeight="1">
      <x:c r="A274" s="89" t="str">
        <x:v>ABC-084</x:v>
      </x:c>
      <x:c r="B274" s="89" t="str">
        <x:v>01_vehicles!N5</x:v>
      </x:c>
      <x:c r="C274" s="89" t="str">
        <x:v>2017-2020</x:v>
      </x:c>
      <x:c r="D274" s="89" t="str">
        <x:v>2019</x:v>
      </x:c>
      <x:c r="E274" s="89" t="str">
        <x:v>C1: record scope narrowed to its existing linked configuration year.</x:v>
      </x:c>
      <x:c r="F274" s="89" t="str">
        <x:v>Group C reconciliation</x:v>
      </x:c>
      <x:c r="G274" s="90" t="n">
        <x:v>46288</x:v>
      </x:c>
      <x:c r="H274" s="89" t="str">
        <x:v>Applied; remaining qualifications retained</x:v>
      </x:c>
    </x:row>
    <x:row r="275" ht="79.19999694824219" hidden="0" customHeight="1">
      <x:c r="A275" s="89" t="str">
        <x:v>ABC-085</x:v>
      </x:c>
      <x:c r="B275" s="89" t="str">
        <x:v>01_vehicles!AQ5</x:v>
      </x:c>
      <x:c r="C275" s="89" t="str">
        <x:v>Unverified performance specifications; catalog candidates only; Disputed evidence restored in battery and vehicle fields. </x:v>
      </x:c>
      <x:c r="D275" s="89" t="str">
        <x:v>Unverified performance specifications; catalog candidates only; Disputed evidence restored in battery and vehicle fields.  Scope reconciliation: model_year_range 2017-2020 narrowed to 2019. Broader model-generation/source coverage does not establish every specification across that range.</x:v>
      </x:c>
      <x:c r="E275" s="89" t="str">
        <x:v>C1: preserve the old scope and explain the new boundary.</x:v>
      </x:c>
      <x:c r="F275" s="89" t="str">
        <x:v>Group C reconciliation</x:v>
      </x:c>
      <x:c r="G275" s="90" t="n">
        <x:v>46288</x:v>
      </x:c>
      <x:c r="H275" s="89" t="str">
        <x:v>Applied; remaining qualifications retained</x:v>
      </x:c>
    </x:row>
    <x:row r="276" ht="26.399999618530273" hidden="0" customHeight="1">
      <x:c r="A276" s="89" t="str">
        <x:v>ABC-086</x:v>
      </x:c>
      <x:c r="B276" s="89" t="str">
        <x:v>01_vehicles!N6</x:v>
      </x:c>
      <x:c r="C276" s="89" t="str">
        <x:v>2017-2021</x:v>
      </x:c>
      <x:c r="D276" s="89" t="str">
        <x:v>2019</x:v>
      </x:c>
      <x:c r="E276" s="89" t="str">
        <x:v>C1: record scope narrowed to its existing linked configuration year.</x:v>
      </x:c>
      <x:c r="F276" s="89" t="str">
        <x:v>Group C reconciliation</x:v>
      </x:c>
      <x:c r="G276" s="90" t="n">
        <x:v>46288</x:v>
      </x:c>
      <x:c r="H276" s="89" t="str">
        <x:v>Applied; remaining qualifications retained</x:v>
      </x:c>
    </x:row>
    <x:row r="277" ht="79.19999694824219" hidden="0" customHeight="1">
      <x:c r="A277" s="89" t="str">
        <x:v>ABC-087</x:v>
      </x:c>
      <x:c r="B277" s="89" t="str">
        <x:v>01_vehicles!AQ6</x:v>
      </x:c>
      <x:c r="C277" s="89" t="str">
        <x:v>Unverified performance specifications; catalog candidates only; Disputed evidence restored in battery and vehicle fields. </x:v>
      </x:c>
      <x:c r="D277" s="89" t="str">
        <x:v>Unverified performance specifications; catalog candidates only; Disputed evidence restored in battery and vehicle fields.  Scope reconciliation: model_year_range 2017-2021 narrowed to 2019. Broader model-generation/source coverage does not establish every specification across that range.</x:v>
      </x:c>
      <x:c r="E277" s="89" t="str">
        <x:v>C1: preserve the old scope and explain the new boundary.</x:v>
      </x:c>
      <x:c r="F277" s="89" t="str">
        <x:v>Group C reconciliation</x:v>
      </x:c>
      <x:c r="G277" s="90" t="n">
        <x:v>46288</x:v>
      </x:c>
      <x:c r="H277" s="89" t="str">
        <x:v>Applied; remaining qualifications retained</x:v>
      </x:c>
    </x:row>
    <x:row r="278" ht="26.399999618530273" hidden="0" customHeight="1">
      <x:c r="A278" s="89" t="str">
        <x:v>ABC-088</x:v>
      </x:c>
      <x:c r="B278" s="89" t="str">
        <x:v>01_vehicles!N7</x:v>
      </x:c>
      <x:c r="C278" s="89" t="str">
        <x:v>2022-2025</x:v>
      </x:c>
      <x:c r="D278" s="89" t="str">
        <x:v>2023</x:v>
      </x:c>
      <x:c r="E278" s="89" t="str">
        <x:v>C1: record scope narrowed to its existing linked configuration year.</x:v>
      </x:c>
      <x:c r="F278" s="89" t="str">
        <x:v>Group C reconciliation</x:v>
      </x:c>
      <x:c r="G278" s="90" t="n">
        <x:v>46288</x:v>
      </x:c>
      <x:c r="H278" s="89" t="str">
        <x:v>Applied; remaining qualifications retained</x:v>
      </x:c>
    </x:row>
    <x:row r="279" ht="52.79999923706055" hidden="0" customHeight="1">
      <x:c r="A279" s="89" t="str">
        <x:v>ABC-089</x:v>
      </x:c>
      <x:c r="B279" s="89" t="str">
        <x:v>01_vehicles!AQ7</x:v>
      </x:c>
      <x:c r="C279" s="89" t="str">
        <x:v>Legacy research; not revalidated in this batch; </x:v>
      </x:c>
      <x:c r="D279" s="89" t="str">
        <x:v>Legacy research; not revalidated in this batch;  Scope reconciliation: model_year_range 2022-2025 narrowed to 2023. Broader model-generation/source coverage does not establish every specification across that range.</x:v>
      </x:c>
      <x:c r="E279" s="89" t="str">
        <x:v>C1: preserve the old scope and explain the new boundary.</x:v>
      </x:c>
      <x:c r="F279" s="89" t="str">
        <x:v>Group C reconciliation</x:v>
      </x:c>
      <x:c r="G279" s="90" t="n">
        <x:v>46288</x:v>
      </x:c>
      <x:c r="H279" s="89" t="str">
        <x:v>Applied; remaining qualifications retained</x:v>
      </x:c>
    </x:row>
    <x:row r="280" ht="26.399999618530273" hidden="0" customHeight="1">
      <x:c r="A280" s="89" t="str">
        <x:v>ABC-090</x:v>
      </x:c>
      <x:c r="B280" s="89" t="str">
        <x:v>01_vehicles!N8</x:v>
      </x:c>
      <x:c r="C280" s="89" t="str">
        <x:v>2022-2025</x:v>
      </x:c>
      <x:c r="D280" s="89" t="str">
        <x:v>2023</x:v>
      </x:c>
      <x:c r="E280" s="89" t="str">
        <x:v>C1: record scope narrowed to its existing linked configuration year.</x:v>
      </x:c>
      <x:c r="F280" s="89" t="str">
        <x:v>Group C reconciliation</x:v>
      </x:c>
      <x:c r="G280" s="90" t="n">
        <x:v>46288</x:v>
      </x:c>
      <x:c r="H280" s="89" t="str">
        <x:v>Applied; remaining qualifications retained</x:v>
      </x:c>
    </x:row>
    <x:row r="281" ht="52.79999923706055" hidden="0" customHeight="1">
      <x:c r="A281" s="89" t="str">
        <x:v>ABC-091</x:v>
      </x:c>
      <x:c r="B281" s="89" t="str">
        <x:v>01_vehicles!AQ8</x:v>
      </x:c>
      <x:c r="C281" s="89" t="str">
        <x:v>Legacy research; not revalidated in this batch; </x:v>
      </x:c>
      <x:c r="D281" s="89" t="str">
        <x:v>Legacy research; not revalidated in this batch;  Scope reconciliation: model_year_range 2022-2025 narrowed to 2023. Broader model-generation/source coverage does not establish every specification across that range.</x:v>
      </x:c>
      <x:c r="E281" s="89" t="str">
        <x:v>C1: preserve the old scope and explain the new boundary.</x:v>
      </x:c>
      <x:c r="F281" s="89" t="str">
        <x:v>Group C reconciliation</x:v>
      </x:c>
      <x:c r="G281" s="90" t="n">
        <x:v>46288</x:v>
      </x:c>
      <x:c r="H281" s="89" t="str">
        <x:v>Applied; remaining qualifications retained</x:v>
      </x:c>
    </x:row>
    <x:row r="282" ht="26.399999618530273" hidden="0" customHeight="1">
      <x:c r="A282" s="89" t="str">
        <x:v>ABC-092</x:v>
      </x:c>
      <x:c r="B282" s="89" t="str">
        <x:v>01_vehicles!N9</x:v>
      </x:c>
      <x:c r="C282" s="89" t="str">
        <x:v>2022-2025</x:v>
      </x:c>
      <x:c r="D282" s="89" t="str">
        <x:v>2023</x:v>
      </x:c>
      <x:c r="E282" s="89" t="str">
        <x:v>C1: record scope narrowed to its existing linked configuration year.</x:v>
      </x:c>
      <x:c r="F282" s="89" t="str">
        <x:v>Group C reconciliation</x:v>
      </x:c>
      <x:c r="G282" s="90" t="n">
        <x:v>46288</x:v>
      </x:c>
      <x:c r="H282" s="89" t="str">
        <x:v>Applied; remaining qualifications retained</x:v>
      </x:c>
    </x:row>
    <x:row r="283" ht="79.19999694824219" hidden="0" customHeight="1">
      <x:c r="A283" s="89" t="str">
        <x:v>ABC-093</x:v>
      </x:c>
      <x:c r="B283" s="89" t="str">
        <x:v>01_vehicles!AQ9</x:v>
      </x:c>
      <x:c r="C283" s="89" t="str">
        <x:v>Unverified performance specifications; catalog candidates only; Disputed evidence restored in battery and vehicle fields. </x:v>
      </x:c>
      <x:c r="D283" s="89" t="str">
        <x:v>Unverified performance specifications; catalog candidates only; Disputed evidence restored in battery and vehicle fields.  Scope reconciliation: model_year_range 2022-2025 narrowed to 2023. Broader model-generation/source coverage does not establish every specification across that range.</x:v>
      </x:c>
      <x:c r="E283" s="89" t="str">
        <x:v>C1: preserve the old scope and explain the new boundary.</x:v>
      </x:c>
      <x:c r="F283" s="89" t="str">
        <x:v>Group C reconciliation</x:v>
      </x:c>
      <x:c r="G283" s="90" t="n">
        <x:v>46288</x:v>
      </x:c>
      <x:c r="H283" s="89" t="str">
        <x:v>Applied; remaining qualifications retained</x:v>
      </x:c>
    </x:row>
    <x:row r="284" ht="26.399999618530273" hidden="0" customHeight="1">
      <x:c r="A284" s="89" t="str">
        <x:v>ABC-094</x:v>
      </x:c>
      <x:c r="B284" s="89" t="str">
        <x:v>01_vehicles!N10</x:v>
      </x:c>
      <x:c r="C284" s="89" t="str">
        <x:v>2023-2025</x:v>
      </x:c>
      <x:c r="D284" s="89" t="str">
        <x:v>2024</x:v>
      </x:c>
      <x:c r="E284" s="89" t="str">
        <x:v>C1: record scope narrowed to its existing linked configuration year.</x:v>
      </x:c>
      <x:c r="F284" s="89" t="str">
        <x:v>Group C reconciliation</x:v>
      </x:c>
      <x:c r="G284" s="90" t="n">
        <x:v>46288</x:v>
      </x:c>
      <x:c r="H284" s="89" t="str">
        <x:v>Applied; remaining qualifications retained</x:v>
      </x:c>
    </x:row>
    <x:row r="285" ht="79.19999694824219" hidden="0" customHeight="1">
      <x:c r="A285" s="89" t="str">
        <x:v>ABC-095</x:v>
      </x:c>
      <x:c r="B285" s="89" t="str">
        <x:v>01_vehicles!AQ10</x:v>
      </x:c>
      <x:c r="C285" s="89" t="str">
        <x:v>Unverified performance specifications; catalog candidates only; Disputed evidence restored in battery and vehicle fields. </x:v>
      </x:c>
      <x:c r="D285" s="89" t="str">
        <x:v>Unverified performance specifications; catalog candidates only; Disputed evidence restored in battery and vehicle fields.  Scope reconciliation: model_year_range 2023-2025 narrowed to 2024. Broader model-generation/source coverage does not establish every specification across that range.</x:v>
      </x:c>
      <x:c r="E285" s="89" t="str">
        <x:v>C1: preserve the old scope and explain the new boundary.</x:v>
      </x:c>
      <x:c r="F285" s="89" t="str">
        <x:v>Group C reconciliation</x:v>
      </x:c>
      <x:c r="G285" s="90" t="n">
        <x:v>46288</x:v>
      </x:c>
      <x:c r="H285" s="89" t="str">
        <x:v>Applied; remaining qualifications retained</x:v>
      </x:c>
    </x:row>
    <x:row r="286" ht="26.399999618530273" hidden="0" customHeight="1">
      <x:c r="A286" s="89" t="str">
        <x:v>ABC-096</x:v>
      </x:c>
      <x:c r="B286" s="89" t="str">
        <x:v>01_vehicles!N11</x:v>
      </x:c>
      <x:c r="C286" s="89" t="str">
        <x:v>2025-2026</x:v>
      </x:c>
      <x:c r="D286" s="89" t="str">
        <x:v>2025</x:v>
      </x:c>
      <x:c r="E286" s="89" t="str">
        <x:v>C1: record scope narrowed to its existing linked configuration year.</x:v>
      </x:c>
      <x:c r="F286" s="89" t="str">
        <x:v>Group C reconciliation</x:v>
      </x:c>
      <x:c r="G286" s="90" t="n">
        <x:v>46288</x:v>
      </x:c>
      <x:c r="H286" s="89" t="str">
        <x:v>Applied; remaining qualifications retained</x:v>
      </x:c>
    </x:row>
    <x:row r="287" ht="105.5999984741211" hidden="0" customHeight="1">
      <x:c r="A287" s="89" t="str">
        <x:v>ABC-097</x:v>
      </x:c>
      <x:c r="B287" s="89" t="str">
        <x:v>01_vehicles!AQ11</x:v>
      </x:c>
      <x:c r="C287" s="89" t="str">
        <x:v>Legacy research; not revalidated in this batch;  ERG citations are version-specific: S20 Canadian V1 (2025), S30 US V2 (2025–26). Neutral-shift claims differ; see B-CIV-007 AU. No procedure is generalized between versions.</x:v>
      </x:c>
      <x:c r="D287" s="89" t="str">
        <x:v>Legacy research; not revalidated in this batch;  ERG citations are version-specific: S20 Canadian V1 (2025), S30 US V2 (2025–26). Neutral-shift claims differ; see B-CIV-007 AU. No procedure is generalized between versions. Scope reconciliation: model_year_range 2025-2026 narrowed to 2025. Broader model-generation/source coverage does not establish every specification across that range.</x:v>
      </x:c>
      <x:c r="E287" s="89" t="str">
        <x:v>C1: preserve the old scope and explain the new boundary.</x:v>
      </x:c>
      <x:c r="F287" s="89" t="str">
        <x:v>Group C reconciliation</x:v>
      </x:c>
      <x:c r="G287" s="90" t="n">
        <x:v>46288</x:v>
      </x:c>
      <x:c r="H287" s="89" t="str">
        <x:v>Applied; remaining qualifications retained</x:v>
      </x:c>
    </x:row>
    <x:row r="288" ht="26.399999618530273" hidden="0" customHeight="1">
      <x:c r="A288" s="89" t="str">
        <x:v>ABC-098</x:v>
      </x:c>
      <x:c r="B288" s="89" t="str">
        <x:v>01_vehicles!N12</x:v>
      </x:c>
      <x:c r="C288" s="89" t="str">
        <x:v>2019 only</x:v>
      </x:c>
      <x:c r="D288" s="89" t="str">
        <x:v>2019</x:v>
      </x:c>
      <x:c r="E288" s="89" t="str">
        <x:v>C1: record scope narrowed to its existing linked configuration year.</x:v>
      </x:c>
      <x:c r="F288" s="89" t="str">
        <x:v>Group C reconciliation</x:v>
      </x:c>
      <x:c r="G288" s="90" t="n">
        <x:v>46288</x:v>
      </x:c>
      <x:c r="H288" s="89" t="str">
        <x:v>Applied; remaining qualifications retained</x:v>
      </x:c>
    </x:row>
    <x:row r="289" ht="66" hidden="0" customHeight="1">
      <x:c r="A289" s="89" t="str">
        <x:v>ABC-099</x:v>
      </x:c>
      <x:c r="B289" s="89" t="str">
        <x:v>01_vehicles!AQ12</x:v>
      </x:c>
      <x:c r="C289" s="89" t="str">
        <x:v>Partial OEM research; synthetic identity; fitment not approved; </x:v>
      </x:c>
      <x:c r="D289" s="89" t="str">
        <x:v>Partial OEM research; synthetic identity; fitment not approved;  Scope reconciliation: model_year_range 2019 only narrowed to 2019. Broader model-generation/source coverage does not establish every specification across that range.</x:v>
      </x:c>
      <x:c r="E289" s="89" t="str">
        <x:v>C1: preserve the old scope and explain the new boundary.</x:v>
      </x:c>
      <x:c r="F289" s="89" t="str">
        <x:v>Group C reconciliation</x:v>
      </x:c>
      <x:c r="G289" s="90" t="n">
        <x:v>46288</x:v>
      </x:c>
      <x:c r="H289" s="89" t="str">
        <x:v>Applied; remaining qualifications retained</x:v>
      </x:c>
    </x:row>
    <x:row r="290" ht="26.399999618530273" hidden="0" customHeight="1">
      <x:c r="A290" s="89" t="str">
        <x:v>ABC-100</x:v>
      </x:c>
      <x:c r="B290" s="89" t="str">
        <x:v>01_vehicles!N15</x:v>
      </x:c>
      <x:c r="C290" s="89" t="str">
        <x:v>2019 only</x:v>
      </x:c>
      <x:c r="D290" s="89" t="str">
        <x:v>2019</x:v>
      </x:c>
      <x:c r="E290" s="89" t="str">
        <x:v>C1: record scope narrowed to its existing linked configuration year.</x:v>
      </x:c>
      <x:c r="F290" s="89" t="str">
        <x:v>Group C reconciliation</x:v>
      </x:c>
      <x:c r="G290" s="90" t="n">
        <x:v>46288</x:v>
      </x:c>
      <x:c r="H290" s="89" t="str">
        <x:v>Applied; remaining qualifications retained</x:v>
      </x:c>
    </x:row>
    <x:row r="291" ht="66" hidden="0" customHeight="1">
      <x:c r="A291" s="89" t="str">
        <x:v>ABC-101</x:v>
      </x:c>
      <x:c r="B291" s="89" t="str">
        <x:v>01_vehicles!AQ15</x:v>
      </x:c>
      <x:c r="C291" s="89" t="str">
        <x:v>Conditional auxiliary-battery research; type unresolved; not approved; </x:v>
      </x:c>
      <x:c r="D291" s="89" t="str">
        <x:v>Conditional auxiliary-battery research; type unresolved; not approved;  Scope reconciliation: model_year_range 2019 only narrowed to 2019. Broader model-generation/source coverage does not establish every specification across that range.</x:v>
      </x:c>
      <x:c r="E291" s="89" t="str">
        <x:v>C1: preserve the old scope and explain the new boundary.</x:v>
      </x:c>
      <x:c r="F291" s="89" t="str">
        <x:v>Group C reconciliation</x:v>
      </x:c>
      <x:c r="G291" s="90" t="n">
        <x:v>46288</x:v>
      </x:c>
      <x:c r="H291" s="89" t="str">
        <x:v>Applied; remaining qualifications retained</x:v>
      </x:c>
    </x:row>
    <x:row r="292" ht="26.399999618530273" hidden="0" customHeight="1">
      <x:c r="A292" s="89" t="str">
        <x:v>ABC-102</x:v>
      </x:c>
      <x:c r="B292" s="89" t="str">
        <x:v>02_battery_specifications!D3</x:v>
      </x:c>
      <x:c r="C292" s="89" t="str">
        <x:v>2016-2021</x:v>
      </x:c>
      <x:c r="D292" s="89" t="str">
        <x:v>2018</x:v>
      </x:c>
      <x:c r="E292" s="89" t="str">
        <x:v>C1: align battery scope with all linked vehicle rows.</x:v>
      </x:c>
      <x:c r="F292" s="89" t="str">
        <x:v>Group C reconciliation</x:v>
      </x:c>
      <x:c r="G292" s="90" t="n">
        <x:v>46288</x:v>
      </x:c>
      <x:c r="H292" s="89" t="str">
        <x:v>Applied; remaining qualifications retained</x:v>
      </x:c>
    </x:row>
    <x:row r="293" ht="198" hidden="0" customHeight="1">
      <x:c r="A293" s="89" t="str">
        <x:v>ABC-103</x:v>
      </x:c>
      <x:c r="B293" s="89" t="str">
        <x:v>02_battery_specifications!AY3</x:v>
      </x:c>
      <x:c r="C293" s="89" t="str">
        <x:v>S31 explicitly lists the service product 31500-SR1-100M as Group 51R, 400 CCA. This establishes product data, not the original installed battery or all-trim fitment. Q/R naming-derived estimates are [inferred from OEM part naming], not published OEM specifications. Approximate aftermarket values remain qualified. Vehicle Y3:Y4 had the stale OE/aftermarket classification and now agree with this row.</x:v>
      </x:c>
      <x:c r="D293" s="89" t="str">
        <x:v>S31 explicitly lists the service product 31500-SR1-100M as Group 51R, 400 CCA. This establishes product data, not the original installed battery or all-trim fitment. Q/R naming-derived estimates are [inferred from OEM part naming], not published OEM specifications. Approximate aftermarket values remain qualified. Vehicle Y3:Y4 had the stale OE/aftermarket classification and now agree with this row. Record scope narrowed from 2016-2021 to 2018, matching linked vehicle records. Source coverage may be broader; this is not a claim of fitment approval.</x:v>
      </x:c>
      <x:c r="E293" s="89" t="str">
        <x:v>C1: preserve broader historical scope without applying it.</x:v>
      </x:c>
      <x:c r="F293" s="89" t="str">
        <x:v>Group C reconciliation</x:v>
      </x:c>
      <x:c r="G293" s="90" t="n">
        <x:v>46288</x:v>
      </x:c>
      <x:c r="H293" s="89" t="str">
        <x:v>Applied; remaining qualifications retained</x:v>
      </x:c>
    </x:row>
    <x:row r="294" ht="26.399999618530273" hidden="0" customHeight="1">
      <x:c r="A294" s="89" t="str">
        <x:v>ABC-104</x:v>
      </x:c>
      <x:c r="B294" s="89" t="str">
        <x:v>02_battery_specifications!D6</x:v>
      </x:c>
      <x:c r="C294" s="89" t="str">
        <x:v>2022-2026</x:v>
      </x:c>
      <x:c r="D294" s="89" t="str">
        <x:v>2023</x:v>
      </x:c>
      <x:c r="E294" s="89" t="str">
        <x:v>C1: align battery scope with all linked vehicle rows.</x:v>
      </x:c>
      <x:c r="F294" s="89" t="str">
        <x:v>Group C reconciliation</x:v>
      </x:c>
      <x:c r="G294" s="90" t="n">
        <x:v>46288</x:v>
      </x:c>
      <x:c r="H294" s="89" t="str">
        <x:v>Applied; remaining qualifications retained</x:v>
      </x:c>
    </x:row>
    <x:row r="295" ht="264" hidden="0" customHeight="1">
      <x:c r="A295" s="89" t="str">
        <x:v>ABC-105</x:v>
      </x:c>
      <x:c r="B295" s="89" t="str">
        <x:v>02_battery_specifications!AY6</x:v>
      </x:c>
      <x:c r="C295" s="89" t="str">
        <x:v>OE PN + H5 group verified (Honda catalog + AutoZone fitment). OE CCA ~450 is owner-reported off the sibling PN's label; aftermarket H5 EFB/AGM are rated 650/680 - kept separate. Group vs 51R remains a logged conflict. Previous status detail: Conflicting group (H5 vs 51R); OE PN verified; CCA OEM vs aftermarket separated. Locator gap retained: the legacy owner-reported ~450 CCA claim for sibling 31500-TLA-A11 cites CRVOwnersClub, but no exact thread URL is on record. The homepage has been removed from source_links; this claim is not freshly verified.</x:v>
      </x:c>
      <x:c r="D295" s="89" t="str">
        <x:v>OE PN + H5 group verified (Honda catalog + AutoZone fitment). OE CCA ~450 is owner-reported off the sibling PN's label; aftermarket H5 EFB/AGM are rated 650/680 - kept separate. Group vs 51R remains a logged conflict. Previous status detail: Conflicting group (H5 vs 51R); OE PN verified; CCA OEM vs aftermarket separated. Locator gap retained: the legacy owner-reported ~450 CCA claim for sibling 31500-TLA-A11 cites CRVOwnersClub, but no exact thread URL is on record. The homepage has been removed from source_links; this claim is not freshly verified. Record scope narrowed from 2022-2026 to 2023, matching linked vehicle records. Source coverage may be broader; this is not a claim of fitment approval.</x:v>
      </x:c>
      <x:c r="E295" s="89" t="str">
        <x:v>C1: preserve broader historical scope without applying it.</x:v>
      </x:c>
      <x:c r="F295" s="89" t="str">
        <x:v>Group C reconciliation</x:v>
      </x:c>
      <x:c r="G295" s="90" t="n">
        <x:v>46288</x:v>
      </x:c>
      <x:c r="H295" s="89" t="str">
        <x:v>Applied; remaining qualifications retained</x:v>
      </x:c>
    </x:row>
    <x:row r="296" ht="26.399999618530273" hidden="0" customHeight="1">
      <x:c r="A296" s="89" t="str">
        <x:v>ABC-106</x:v>
      </x:c>
      <x:c r="B296" s="89" t="str">
        <x:v>02_battery_specifications!D9</x:v>
      </x:c>
      <x:c r="C296" s="89" t="str">
        <x:v>2025-2026</x:v>
      </x:c>
      <x:c r="D296" s="89" t="str">
        <x:v>2025</x:v>
      </x:c>
      <x:c r="E296" s="89" t="str">
        <x:v>C1: align battery scope with all linked vehicle rows.</x:v>
      </x:c>
      <x:c r="F296" s="89" t="str">
        <x:v>Group C reconciliation</x:v>
      </x:c>
      <x:c r="G296" s="90" t="n">
        <x:v>46288</x:v>
      </x:c>
      <x:c r="H296" s="89" t="str">
        <x:v>Applied; remaining qualifications retained</x:v>
      </x:c>
    </x:row>
    <x:row r="297" ht="290.3999938964844" hidden="0" customHeight="1">
      <x:c r="A297" s="89" t="str">
        <x:v>ABC-107</x:v>
      </x:c>
      <x:c r="B297" s="89" t="str">
        <x:v>02_battery_specifications!AY9</x:v>
      </x:c>
      <x:c r="C297" s="89" t="str">
        <x:v>UPGRADED from 'Not publicly verified' using the uploaded Honda ERG. Capacity (45 Ah/20HR, 36 Ah/5HR), nominal voltage and lead-acid composition are now OEM-verified. Group size, CCA, reserve capacity, dimensions, weight and OEM part number are still NOT stated in the ERG and remain unverified. Previous status detail: Partially OEM-verified (capacity/chemistry) - Honda ERG. Source identity correction: S20 = Canadian V1 26065 (2406), 2025. S30 = American V2 26065 (2506), 2025–26. Existing S20-derived data has not been silently migrated to S30. See AU9 for the neutral-shift disagreement.</x:v>
      </x:c>
      <x:c r="D297" s="89" t="str">
        <x:v>UPGRADED from 'Not publicly verified' using the uploaded Honda ERG. Capacity (45 Ah/20HR, 36 Ah/5HR), nominal voltage and lead-acid composition are now OEM-verified. Group size, CCA, reserve capacity, dimensions, weight and OEM part number are still NOT stated in the ERG and remain unverified. Previous status detail: Partially OEM-verified (capacity/chemistry) - Honda ERG. Source identity correction: S20 = Canadian V1 26065 (2406), 2025. S30 = American V2 26065 (2506), 2025–26. Existing S20-derived data has not been silently migrated to S30. See AU9 for the neutral-shift disagreement. Record scope narrowed from 2025-2026 to 2025, matching linked vehicle records. Source coverage may be broader; this is not a claim of fitment approval.</x:v>
      </x:c>
      <x:c r="E297" s="89" t="str">
        <x:v>C1: preserve broader historical scope without applying it.</x:v>
      </x:c>
      <x:c r="F297" s="89" t="str">
        <x:v>Group C reconciliation</x:v>
      </x:c>
      <x:c r="G297" s="90" t="n">
        <x:v>46288</x:v>
      </x:c>
      <x:c r="H297" s="89" t="str">
        <x:v>Applied; remaining qualifications retained</x:v>
      </x:c>
    </x:row>
    <x:row r="298" ht="26.399999618530273" hidden="0" customHeight="1">
      <x:c r="A298" s="89" t="str">
        <x:v>ABC-108</x:v>
      </x:c>
      <x:c r="B298" s="89" t="str">
        <x:v>02_battery_specifications!D10</x:v>
      </x:c>
      <x:c r="C298" s="89" t="str">
        <x:v>2025-2026</x:v>
      </x:c>
      <x:c r="D298" s="89" t="str">
        <x:v>2025</x:v>
      </x:c>
      <x:c r="E298" s="89" t="str">
        <x:v>C1: align battery scope with all linked vehicle rows.</x:v>
      </x:c>
      <x:c r="F298" s="89" t="str">
        <x:v>Group C reconciliation</x:v>
      </x:c>
      <x:c r="G298" s="90" t="n">
        <x:v>46288</x:v>
      </x:c>
      <x:c r="H298" s="89" t="str">
        <x:v>Applied; remaining qualifications retained</x:v>
      </x:c>
    </x:row>
    <x:row r="299" ht="594" hidden="0" customHeight="1">
      <x:c r="A299" s="89" t="str">
        <x:v>ABC-109</x:v>
      </x:c>
      <x:c r="B299" s="89" t="str">
        <x:v>02_battery_specifications!AY10</x:v>
      </x:c>
      <x:c r="C299" s="89" t="str">
        <x:v>UPGRADED using the uploaded Honda ERG (Tier A, manufacturer). Newly OEM-verified: cell/module split (36 x 2), full chemistry composition, LIQUID cooling (1.1 L dedicated HV coolant), contactor/BMS crash behaviour, and the retained safety/service/discharge extract (S20 Canadian Version 1 only; not revalidated against S30). STILL not published anywhere in the ERG: usable energy, max charge current, max discharge current, C-rate, SOC operating window, depth of discharge and cycle life - these remain service-manual items. Note the ERG states pack voltage and cell count but NOT kWh; the 1.06 kWh figure comes from Honda's newsroom, so the two sources are complementary rather than conflicting. Previous status detail: OEM-verified (Honda ERG) - internal limits still unavailable. Source identity correction: S20 = Canadian V1 26065 (2406), 2025. S30 = American V2 26065 (2506), 2025–26. Existing S20-derived data has not been silently migrated to S30. See AU9 for the neutral-shift disagreement. Locator gaps retained: no exact Honda Newsroom URL is on record for the 1.06 kWh claim (S16), and no exact Go-Parts URL is on record for the replacement assembly claim (S15). Those legacy attributions remain unverified in this pass; homepages are not supporting citations.</x:v>
      </x:c>
      <x:c r="D299" s="89" t="str">
        <x:v>UPGRADED using the uploaded Honda ERG (Tier A, manufacturer). Newly OEM-verified: cell/module split (36 x 2), full chemistry composition, LIQUID cooling (1.1 L dedicated HV coolant), contactor/BMS crash behaviour, and the retained safety/service/discharge extract (S20 Canadian Version 1 only; not revalidated against S30). STILL not published anywhere in the ERG: usable energy, max charge current, max discharge current, C-rate, SOC operating window, depth of discharge and cycle life - these remain service-manual items. Note the ERG states pack voltage and cell count but NOT kWh; the 1.06 kWh figure comes from Honda's newsroom, so the two sources are complementary rather than conflicting. Previous status detail: OEM-verified (Honda ERG) - internal limits still unavailable. Source identity correction: S20 = Canadian V1 26065 (2406), 2025. S30 = American V2 26065 (2506), 2025–26. Existing S20-derived data has not been silently migrated to S30. See AU9 for the neutral-shift disagreement. Locator gaps retained: no exact Honda Newsroom URL is on record for the 1.06 kWh claim (S16), and no exact Go-Parts URL is on record for the replacement assembly claim (S15). Those legacy attributions remain unverified in this pass; homepages are not supporting citations. Record scope narrowed from 2025-2026 to 2025, matching linked vehicle records. Source coverage may be broader; this is not a claim of fitment approval.</x:v>
      </x:c>
      <x:c r="E299" s="89" t="str">
        <x:v>C1: preserve broader historical scope without applying it.</x:v>
      </x:c>
      <x:c r="F299" s="89" t="str">
        <x:v>Group C reconciliation</x:v>
      </x:c>
      <x:c r="G299" s="90" t="n">
        <x:v>46288</x:v>
      </x:c>
      <x:c r="H299" s="89" t="str">
        <x:v>Applied; remaining qualifications retained</x:v>
      </x:c>
    </x:row>
    <x:row r="300" ht="26.399999618530273" hidden="0" customHeight="1">
      <x:c r="A300" s="89" t="str">
        <x:v>ABC-110</x:v>
      </x:c>
      <x:c r="B300" s="89" t="str">
        <x:v>02_battery_specifications!E3</x:v>
      </x:c>
      <x:c r="C300" s="89" t="str">
        <x:v>LX / Sport / EX / EX-L / Touring (standard trims)</x:v>
      </x:c>
      <x:c r="D300" s="89" t="str">
        <x:v>LX 2.0L / EX-T 1.5T (linked 2018 configurations only)</x:v>
      </x:c>
      <x:c r="E300" s="89" t="str">
        <x:v>C1: remove all-standard-trims scope.</x:v>
      </x:c>
      <x:c r="F300" s="89" t="str">
        <x:v>Group C reconciliation</x:v>
      </x:c>
      <x:c r="G300" s="90" t="n">
        <x:v>46288</x:v>
      </x:c>
      <x:c r="H300" s="89" t="str">
        <x:v>Applied; remaining qualifications retained</x:v>
      </x:c>
    </x:row>
    <x:row r="301" ht="26.399999618530273" hidden="0" customHeight="1">
      <x:c r="A301" s="89" t="str">
        <x:v>ABC-111</x:v>
      </x:c>
      <x:c r="B301" s="89" t="str">
        <x:v>02_battery_specifications!E6</x:v>
      </x:c>
      <x:c r="C301" s="89" t="str">
        <x:v>LX / Sport / EX / Sport Touring (standard trims)</x:v>
      </x:c>
      <x:c r="D301" s="89" t="str">
        <x:v>LX / Sport 2.0L; EX / Sport Touring 1.5T (linked 2023 configurations only)</x:v>
      </x:c>
      <x:c r="E301" s="89" t="str">
        <x:v>C1: remove broad 2022–2026 trim aggregation.</x:v>
      </x:c>
      <x:c r="F301" s="89" t="str">
        <x:v>Group C reconciliation</x:v>
      </x:c>
      <x:c r="G301" s="90" t="n">
        <x:v>46288</x:v>
      </x:c>
      <x:c r="H301" s="89" t="str">
        <x:v>Applied; remaining qualifications retained</x:v>
      </x:c>
    </x:row>
    <x:row r="302" ht="369.6000061035156" hidden="0" customHeight="1">
      <x:c r="A302" s="89" t="str">
        <x:v>ABC-112</x:v>
      </x:c>
      <x:c r="B302" s="89" t="str">
        <x:v>02_battery_specifications!AY9</x:v>
      </x:c>
      <x:c r="C302" s="89" t="str">
        <x:v>UPGRADED from 'Not publicly verified' using the uploaded Honda ERG. Capacity (45 Ah/20HR, 36 Ah/5HR), nominal voltage and lead-acid composition are now OEM-verified. Group size, CCA, reserve capacity, dimensions, weight and OEM part number are still NOT stated in the ERG and remain unverified. Previous status detail: Partially OEM-verified (capacity/chemistry) - Honda ERG. Source identity correction: S20 = Canadian V1 26065 (2406), 2025. S30 = American V2 26065 (2506), 2025–26. Existing S20-derived data has not been silently migrated to S30. See AU9 for the neutral-shift disagreement. Record scope narrowed from 2025-2026 to 2025, matching linked vehicle records. Source coverage may be broader; this is not a claim of fitment approval.</x:v>
      </x:c>
      <x:c r="D302" s="89" t="str">
        <x:v>UPGRADED from 'Not publicly verified' using the uploaded Honda ERG. Capacity (45 Ah/20HR, 36 Ah/5HR), nominal voltage and lead-acid composition are now OEM-verified. Group size, CCA, reserve capacity, dimensions, weight and OEM part number are still NOT stated in the ERG and remain unverified. Previous status detail: Partially OEM-verified (capacity/chemistry) - Honda ERG. Source identity correction: S20 = Canadian V1 26065 (2406), 2025. S30 = American V2 26065 (2506), 2025–26. Existing S20-derived data has not been silently migrated to S30. See AU9 for the neutral-shift disagreement. Record scope narrowed from 2025-2026 to 2025, matching linked vehicle records. Source coverage may be broader; this is not a claim of fitment approval. S20 Canadian V1 supports the 2025 source scope. S30 covers 2025–26 but has not been used to extend the complete row to 2026.</x:v>
      </x:c>
      <x:c r="E302" s="89" t="str">
        <x:v>C1: source-version scope does not propagate automatically.</x:v>
      </x:c>
      <x:c r="F302" s="89" t="str">
        <x:v>Group C reconciliation</x:v>
      </x:c>
      <x:c r="G302" s="90" t="n">
        <x:v>46288</x:v>
      </x:c>
      <x:c r="H302" s="89" t="str">
        <x:v>Applied; remaining qualifications retained</x:v>
      </x:c>
    </x:row>
    <x:row r="303" ht="660" hidden="0" customHeight="1">
      <x:c r="A303" s="89" t="str">
        <x:v>ABC-113</x:v>
      </x:c>
      <x:c r="B303" s="89" t="str">
        <x:v>02_battery_specifications!AY10</x:v>
      </x:c>
      <x:c r="C303" s="89" t="str">
        <x:v>UPGRADED using the uploaded Honda ERG (Tier A, manufacturer). Newly OEM-verified: cell/module split (36 x 2), full chemistry composition, LIQUID cooling (1.1 L dedicated HV coolant), contactor/BMS crash behaviour, and the retained safety/service/discharge extract (S20 Canadian Version 1 only; not revalidated against S30). STILL not published anywhere in the ERG: usable energy, max charge current, max discharge current, C-rate, SOC operating window, depth of discharge and cycle life - these remain service-manual items. Note the ERG states pack voltage and cell count but NOT kWh; the 1.06 kWh figure comes from Honda's newsroom, so the two sources are complementary rather than conflicting. Previous status detail: OEM-verified (Honda ERG) - internal limits still unavailable. Source identity correction: S20 = Canadian V1 26065 (2406), 2025. S30 = American V2 26065 (2506), 2025–26. Existing S20-derived data has not been silently migrated to S30. See AU9 for the neutral-shift disagreement. Locator gaps retained: no exact Honda Newsroom URL is on record for the 1.06 kWh claim (S16), and no exact Go-Parts URL is on record for the replacement assembly claim (S15). Those legacy attributions remain unverified in this pass; homepages are not supporting citations. Record scope narrowed from 2025-2026 to 2025, matching linked vehicle records. Source coverage may be broader; this is not a claim of fitment approval.</x:v>
      </x:c>
      <x:c r="D303" s="89" t="str">
        <x:v>UPGRADED using the uploaded Honda ERG (Tier A, manufacturer). Newly OEM-verified: cell/module split (36 x 2), full chemistry composition, LIQUID cooling (1.1 L dedicated HV coolant), contactor/BMS crash behaviour, and the retained safety/service/discharge extract (S20 Canadian Version 1 only; not revalidated against S30). STILL not published anywhere in the ERG: usable energy, max charge current, max discharge current, C-rate, SOC operating window, depth of discharge and cycle life - these remain service-manual items. Note the ERG states pack voltage and cell count but NOT kWh; the 1.06 kWh figure comes from Honda's newsroom, so the two sources are complementary rather than conflicting. Previous status detail: OEM-verified (Honda ERG) - internal limits still unavailable. Source identity correction: S20 = Canadian V1 26065 (2406), 2025. S30 = American V2 26065 (2506), 2025–26. Existing S20-derived data has not been silently migrated to S30. See AU9 for the neutral-shift disagreement. Locator gaps retained: no exact Honda Newsroom URL is on record for the 1.06 kWh claim (S16), and no exact Go-Parts URL is on record for the replacement assembly claim (S15). Those legacy attributions remain unverified in this pass; homepages are not supporting citations. Record scope narrowed from 2025-2026 to 2025, matching linked vehicle records. Source coverage may be broader; this is not a claim of fitment approval. S20 Canadian V1 supports the 2025 source scope. S30 covers 2025–26 but has not been used to extend the complete row to 2026.</x:v>
      </x:c>
      <x:c r="E303" s="89" t="str">
        <x:v>C1: source-version scope does not propagate automatically.</x:v>
      </x:c>
      <x:c r="F303" s="89" t="str">
        <x:v>Group C reconciliation</x:v>
      </x:c>
      <x:c r="G303" s="90" t="n">
        <x:v>46288</x:v>
      </x:c>
      <x:c r="H303" s="89" t="str">
        <x:v>Applied; remaining qualifications retained</x:v>
      </x:c>
    </x:row>
    <x:row r="304" ht="158.39999389648438" hidden="0" customHeight="1">
      <x:c r="A304" s="89" t="str">
        <x:v>ABC-114</x:v>
      </x:c>
      <x:c r="B304" s="89" t="str">
        <x:v>01_vehicles!AK3</x:v>
      </x:c>
      <x:c r="C304" s="89" t="str">
        <x:v>Group 51R is the standard OE size across 2016-2021 non-performance trims (multi-source). Caveats: one year-chart lists H5 for 2018-2019, and one OE listing cites group 47 for the AGM variant - VIN-verify. Do NOT substitute a Group 51 (non-R): reverse terminals mean the OE cables will not reach (hard incompatibility).</x:v>
      </x:c>
      <x:c r="D304" s="89" t="str">
        <x:v>2018 LX target only. Group 51R is a candidate; S3 lists H5 for 2018 2.0L and other sources differ. S31 establishes a Group 51R service-product rating, not this vehicle fitment. Confirm installed case, terminals and retention. No generation-wide compatibility approval.</x:v>
      </x:c>
      <x:c r="E304" s="89" t="str">
        <x:v>C1: remove blanket group fitment and retain the recorded conflict.</x:v>
      </x:c>
      <x:c r="F304" s="89" t="str">
        <x:v>Group C reconciliation</x:v>
      </x:c>
      <x:c r="G304" s="90" t="n">
        <x:v>46288</x:v>
      </x:c>
      <x:c r="H304" s="89" t="str">
        <x:v>Applied; remaining qualifications retained</x:v>
      </x:c>
    </x:row>
    <x:row r="305" ht="92.4000015258789" hidden="0" customHeight="1">
      <x:c r="A305" s="89" t="str">
        <x:v>ABC-115</x:v>
      </x:c>
      <x:c r="B305" s="89" t="str">
        <x:v>01_vehicles!AK4</x:v>
      </x:c>
      <x:c r="C305" s="89" t="str">
        <x:v>Same 51R/EFB standard battery as the 2.0L. The 1.5T alternator itself differs from the 2.0L unit (rebuilders report a different mounting-ear count) - confirm the bracket when sourcing an alternator, not the battery.</x:v>
      </x:c>
      <x:c r="D305" s="89" t="str">
        <x:v>2018 EX-T target only. Group 51R is a candidate; do not infer compatibility from the 2.0L row or the service-product supersession. Confirm exact VIN/installed battery. Alternator part and mounting claims remain separately unverified.</x:v>
      </x:c>
      <x:c r="E305" s="89" t="str">
        <x:v>C1: remove inherited cross-engine fitment claim.</x:v>
      </x:c>
      <x:c r="F305" s="89" t="str">
        <x:v>Group C reconciliation</x:v>
      </x:c>
      <x:c r="G305" s="90" t="n">
        <x:v>46288</x:v>
      </x:c>
      <x:c r="H305" s="89" t="str">
        <x:v>Applied; remaining qualifications retained</x:v>
      </x:c>
    </x:row>
    <x:row r="306" ht="39.599998474121094" hidden="0" customHeight="1">
      <x:c r="A306" s="89" t="str">
        <x:v>ABC-116</x:v>
      </x:c>
      <x:c r="B306" s="89" t="str">
        <x:v>02_battery_specifications!M3</x:v>
      </x:c>
      <x:c r="C306" s="89" t="str">
        <x:v>51R (BCI); reverse terminal [OEM]</x:v>
      </x:c>
      <x:c r="D306" s="89" t="str">
        <x:v>51R [OEM] for the named service product (S31); vehicle fitment remains disputed. S3 lists H5 for the linked 2018 2.0L configuration.</x:v>
      </x:c>
      <x:c r="E306" s="89" t="str">
        <x:v>C1: product group is distinct from vehicle compatibility.</x:v>
      </x:c>
      <x:c r="F306" s="89" t="str">
        <x:v>Group C reconciliation</x:v>
      </x:c>
      <x:c r="G306" s="90" t="n">
        <x:v>46288</x:v>
      </x:c>
      <x:c r="H306" s="89" t="str">
        <x:v>Applied; remaining qualifications retained</x:v>
      </x:c>
    </x:row>
    <x:row r="307" ht="26.399999618530273" hidden="0" customHeight="1">
      <x:c r="A307" s="89" t="str">
        <x:v>ABC-117</x:v>
      </x:c>
      <x:c r="B307" s="89" t="str">
        <x:v>01_vehicles!U3</x:v>
      </x:c>
      <x:c r="C307" s="89" t="str">
        <x:v>51R</x:v>
      </x:c>
      <x:c r="D307" s="89" t="str">
        <x:v>51R candidate; H5 conflict for 2018 2.0L (S3); exact vehicle group Not publicly verified</x:v>
      </x:c>
      <x:c r="E307" s="89" t="str">
        <x:v>C1: active field reflects unresolved exact configuration.</x:v>
      </x:c>
      <x:c r="F307" s="89" t="str">
        <x:v>Group C reconciliation</x:v>
      </x:c>
      <x:c r="G307" s="90" t="n">
        <x:v>46288</x:v>
      </x:c>
      <x:c r="H307" s="89" t="str">
        <x:v>Applied; remaining qualifications retained</x:v>
      </x:c>
    </x:row>
    <x:row r="308" ht="26.399999618530273" hidden="0" customHeight="1">
      <x:c r="A308" s="89" t="str">
        <x:v>ABC-118</x:v>
      </x:c>
      <x:c r="B308" s="89" t="str">
        <x:v>01_vehicles!U4</x:v>
      </x:c>
      <x:c r="C308" s="89" t="str">
        <x:v>51R</x:v>
      </x:c>
      <x:c r="D308" s="89" t="str">
        <x:v>51R candidate; exact 2018 EX-T fitment Not publicly verified</x:v>
      </x:c>
      <x:c r="E308" s="89" t="str">
        <x:v>C1: active field reflects unresolved exact configuration.</x:v>
      </x:c>
      <x:c r="F308" s="89" t="str">
        <x:v>Group C reconciliation</x:v>
      </x:c>
      <x:c r="G308" s="90" t="n">
        <x:v>46288</x:v>
      </x:c>
      <x:c r="H308" s="89" t="str">
        <x:v>Applied; remaining qualifications retained</x:v>
      </x:c>
    </x:row>
    <x:row r="309" ht="26.399999618530273" hidden="0" customHeight="1">
      <x:c r="A309" s="89" t="str">
        <x:v>ABC-119</x:v>
      </x:c>
      <x:c r="B309" s="89" t="str">
        <x:v>02_battery_specifications!AZ3</x:v>
      </x:c>
      <x:c r="C309" s="89" t="str">
        <x:v>Partially verified</x:v>
      </x:c>
      <x:c r="D309" s="89" t="str">
        <x:v>Conflicting sources</x:v>
      </x:c>
      <x:c r="E309" s="89" t="str">
        <x:v>C1: retained group conflict must be visible in status.</x:v>
      </x:c>
      <x:c r="F309" s="89" t="str">
        <x:v>Group C reconciliation</x:v>
      </x:c>
      <x:c r="G309" s="90" t="n">
        <x:v>46288</x:v>
      </x:c>
      <x:c r="H309" s="89" t="str">
        <x:v>Applied; remaining qualifications retained</x:v>
      </x:c>
    </x:row>
    <x:row r="310" ht="26.399999618530273" hidden="0" customHeight="1">
      <x:c r="A310" s="89" t="str">
        <x:v>ABC-120</x:v>
      </x:c>
      <x:c r="B310" s="89" t="str">
        <x:v>01_vehicles!AP3</x:v>
      </x:c>
      <x:c r="C310" s="89" t="str">
        <x:v>Partially verified</x:v>
      </x:c>
      <x:c r="D310" s="89" t="str">
        <x:v>Conflicting sources</x:v>
      </x:c>
      <x:c r="E310" s="89" t="str">
        <x:v>C1: synchronize the documented 2018 LX group conflict.</x:v>
      </x:c>
      <x:c r="F310" s="89" t="str">
        <x:v>Group C reconciliation</x:v>
      </x:c>
      <x:c r="G310" s="90" t="n">
        <x:v>46288</x:v>
      </x:c>
      <x:c r="H310" s="89" t="str">
        <x:v>Applied; remaining qualifications retained</x:v>
      </x:c>
    </x:row>
    <x:row r="311" ht="39.599998474121094" hidden="0" customHeight="1">
      <x:c r="A311" s="89" t="str">
        <x:v>ABC-121</x:v>
      </x:c>
      <x:c r="B311" s="89" t="str">
        <x:v>02_battery_specifications!O3</x:v>
      </x:c>
      <x:c r="C311" s="89" t="str">
        <x:v>~38-45 Ah [BCI-standard / aftermarket-typical; Honda does not publish OE Ah]</x:v>
      </x:c>
      <x:c r="D311" s="89" t="str">
        <x:v>~38–45 Ah [aftermarket-typical]; retained generic estimate, not Honda-published or a cited BCI requirement</x:v>
      </x:c>
      <x:c r="E311" s="89" t="str">
        <x:v>C2: use aftermarket-typical provenance; no primary BCI standard inspected.</x:v>
      </x:c>
      <x:c r="F311" s="89" t="str">
        <x:v>Group C reconciliation</x:v>
      </x:c>
      <x:c r="G311" s="90" t="n">
        <x:v>46288</x:v>
      </x:c>
      <x:c r="H311" s="89" t="str">
        <x:v>Applied; remaining qualifications retained</x:v>
      </x:c>
    </x:row>
    <x:row r="312" ht="39.599998474121094" hidden="0" customHeight="1">
      <x:c r="A312" s="89" t="str">
        <x:v>ABC-122</x:v>
      </x:c>
      <x:c r="B312" s="89" t="str">
        <x:v>02_battery_specifications!O6</x:v>
      </x:c>
      <x:c r="C312" s="89" t="str">
        <x:v>~55-60 Ah [BCI group-47 typical; Honda does not publish OE Ah]</x:v>
      </x:c>
      <x:c r="D312" s="89" t="str">
        <x:v>~55–60 Ah [aftermarket-typical]; retained generic estimate, not Honda-published or a cited BCI requirement</x:v>
      </x:c>
      <x:c r="E312" s="89" t="str">
        <x:v>C2: use aftermarket-typical provenance; no primary BCI standard inspected.</x:v>
      </x:c>
      <x:c r="F312" s="89" t="str">
        <x:v>Group C reconciliation</x:v>
      </x:c>
      <x:c r="G312" s="90" t="n">
        <x:v>46288</x:v>
      </x:c>
      <x:c r="H312" s="89" t="str">
        <x:v>Applied; remaining qualifications retained</x:v>
      </x:c>
    </x:row>
    <x:row r="313" ht="39.599998474121094" hidden="0" customHeight="1">
      <x:c r="A313" s="89" t="str">
        <x:v>ABC-123</x:v>
      </x:c>
      <x:c r="B313" s="89" t="str">
        <x:v>02_battery_specifications!AE3</x:v>
      </x:c>
      <x:c r="C313" s="89" t="str">
        <x:v>~238 x 129 x 223 mm (9.4 x 5.1 x 8.8 in) [BCI group-51R standard]</x:v>
      </x:c>
      <x:c r="D313" s="89" t="str">
        <x:v>~238 x 129 x 223 mm (9.4 x 5.1 x 8.8 in) [aftermarket-typical]; Group 51R reference envelope; confirm the actual product</x:v>
      </x:c>
      <x:c r="E313" s="89" t="str">
        <x:v>C2: use aftermarket-typical provenance; no primary BCI standard inspected.</x:v>
      </x:c>
      <x:c r="F313" s="89" t="str">
        <x:v>Group C reconciliation</x:v>
      </x:c>
      <x:c r="G313" s="90" t="n">
        <x:v>46288</x:v>
      </x:c>
      <x:c r="H313" s="89" t="str">
        <x:v>Applied; remaining qualifications retained</x:v>
      </x:c>
    </x:row>
    <x:row r="314" ht="39.599998474121094" hidden="0" customHeight="1">
      <x:c r="A314" s="89" t="str">
        <x:v>ABC-124</x:v>
      </x:c>
      <x:c r="B314" s="89" t="str">
        <x:v>02_battery_specifications!AE6</x:v>
      </x:c>
      <x:c r="C314" s="89" t="str">
        <x:v>~242 x 175 x 190 mm (9.56 x 6.875 x 7.5 in) [BCI group-47 standard]</x:v>
      </x:c>
      <x:c r="D314" s="89" t="str">
        <x:v>~242 x 175 x 190 mm (9.56 x 6.875 x 7.5 in) [aftermarket-typical]; Group 47/H5 reference envelope; confirm the actual product</x:v>
      </x:c>
      <x:c r="E314" s="89" t="str">
        <x:v>C2: use aftermarket-typical provenance; no primary BCI standard inspected.</x:v>
      </x:c>
      <x:c r="F314" s="89" t="str">
        <x:v>Group C reconciliation</x:v>
      </x:c>
      <x:c r="G314" s="90" t="n">
        <x:v>46288</x:v>
      </x:c>
      <x:c r="H314" s="89" t="str">
        <x:v>Applied; remaining qualifications retained</x:v>
      </x:c>
    </x:row>
    <x:row r="315" ht="39.599998474121094" hidden="0" customHeight="1">
      <x:c r="A315" s="89" t="str">
        <x:v>ABC-125</x:v>
      </x:c>
      <x:c r="B315" s="89" t="str">
        <x:v>02_battery_specifications!AF3</x:v>
      </x:c>
      <x:c r="C315" s="89" t="str">
        <x:v>~11-14.5 kg (25-32 lb) flooded/AGM [aftermarket-typical]</x:v>
      </x:c>
      <x:c r="D315" s="89" t="str">
        <x:v>~11–14.5 kg (25–32 lb), flooded/AGM [aftermarket-typical]; retained generic range, not an OEM or BCI-standard mass</x:v>
      </x:c>
      <x:c r="E315" s="89" t="str">
        <x:v>C2: use aftermarket-typical provenance; no primary BCI standard inspected.</x:v>
      </x:c>
      <x:c r="F315" s="89" t="str">
        <x:v>Group C reconciliation</x:v>
      </x:c>
      <x:c r="G315" s="90" t="n">
        <x:v>46288</x:v>
      </x:c>
      <x:c r="H315" s="89" t="str">
        <x:v>Applied; remaining qualifications retained</x:v>
      </x:c>
    </x:row>
    <x:row r="316" ht="26.399999618530273" hidden="0" customHeight="1">
      <x:c r="A316" s="89" t="str">
        <x:v>ABC-126</x:v>
      </x:c>
      <x:c r="B316" s="89" t="str">
        <x:v>02_battery_specifications!AF6</x:v>
      </x:c>
      <x:c r="C316" s="89" t="str">
        <x:v>~17-20 kg (38-44 lb) EFB/AGM [BCI-typical]</x:v>
      </x:c>
      <x:c r="D316" s="89" t="str">
        <x:v>~17–20 kg (38–44 lb), EFB/AGM [aftermarket-typical]; retained generic range, not an OEM or BCI-standard mass</x:v>
      </x:c>
      <x:c r="E316" s="89" t="str">
        <x:v>C2: use aftermarket-typical provenance; no primary BCI standard inspected.</x:v>
      </x:c>
      <x:c r="F316" s="89" t="str">
        <x:v>Group C reconciliation</x:v>
      </x:c>
      <x:c r="G316" s="90" t="n">
        <x:v>46288</x:v>
      </x:c>
      <x:c r="H316" s="89" t="str">
        <x:v>Applied; remaining qualifications retained</x:v>
      </x:c>
    </x:row>
    <x:row r="317" ht="39.599998474121094" hidden="0" customHeight="1">
      <x:c r="A317" s="89" t="str">
        <x:v>ABC-127</x:v>
      </x:c>
      <x:c r="B317" s="89" t="str">
        <x:v>02_battery_specifications!S3</x:v>
      </x:c>
      <x:c r="C317" s="89" t="str">
        <x:v>~0.46-0.54 kWh (calculated = 12V x ~38-45Ah) [calculated, approximate]</x:v>
      </x:c>
      <x:c r="D317" s="89" t="str">
        <x:v>~0.46–0.54 kWh [calculated] = 12 V x ~38–45 Ah [aftermarket-typical]; approximation, not measured or OEM-rated energy</x:v>
      </x:c>
      <x:c r="E317" s="89" t="str">
        <x:v>C2: use aftermarket-typical provenance; no primary BCI standard inspected.</x:v>
      </x:c>
      <x:c r="F317" s="89" t="str">
        <x:v>Group C reconciliation</x:v>
      </x:c>
      <x:c r="G317" s="90" t="n">
        <x:v>46288</x:v>
      </x:c>
      <x:c r="H317" s="89" t="str">
        <x:v>Applied; remaining qualifications retained</x:v>
      </x:c>
    </x:row>
    <x:row r="318" ht="39.599998474121094" hidden="0" customHeight="1">
      <x:c r="A318" s="89" t="str">
        <x:v>ABC-128</x:v>
      </x:c>
      <x:c r="B318" s="89" t="str">
        <x:v>02_battery_specifications!S6</x:v>
      </x:c>
      <x:c r="C318" s="89" t="str">
        <x:v>~0.66-0.72 kWh (calculated = 12V x ~55-60Ah) [calculated, approximate]</x:v>
      </x:c>
      <x:c r="D318" s="89" t="str">
        <x:v>~0.66–0.72 kWh [calculated] = 12 V x ~55–60 Ah [aftermarket-typical]; approximation, not measured or OEM-rated energy</x:v>
      </x:c>
      <x:c r="E318" s="89" t="str">
        <x:v>C2: use aftermarket-typical provenance; no primary BCI standard inspected.</x:v>
      </x:c>
      <x:c r="F318" s="89" t="str">
        <x:v>Group C reconciliation</x:v>
      </x:c>
      <x:c r="G318" s="90" t="n">
        <x:v>46288</x:v>
      </x:c>
      <x:c r="H318" s="89" t="str">
        <x:v>Applied; remaining qualifications retained</x:v>
      </x:c>
    </x:row>
    <x:row r="319" ht="264" hidden="0" customHeight="1">
      <x:c r="A319" s="89" t="str">
        <x:v>ABC-129</x:v>
      </x:c>
      <x:c r="B319" s="89" t="str">
        <x:v>02_battery_specifications!AY3</x:v>
      </x:c>
      <x:c r="C319" s="89" t="str">
        <x:v>S31 explicitly lists the service product 31500-SR1-100M as Group 51R, 400 CCA. This establishes product data, not the original installed battery or all-trim fitment. Q/R naming-derived estimates are [inferred from OEM part naming], not published OEM specifications. Approximate aftermarket values remain qualified. Vehicle Y3:Y4 had the stale OE/aftermarket classification and now agree with this row. Record scope narrowed from 2016-2021 to 2018, matching linked vehicle records. Source coverage may be broader; this is not a claim of fitment approval.</x:v>
      </x:c>
      <x:c r="D319" s="89" t="str">
        <x:v>S31 explicitly lists the service product 31500-SR1-100M as Group 51R, 400 CCA. This establishes product data, not the original installed battery or all-trim fitment. Q/R naming-derived estimates are [inferred from OEM part naming], not published OEM specifications. Approximate aftermarket values remain qualified. Vehicle Y3:Y4 had the stale OE/aftermarket classification and now agree with this row. Record scope narrowed from 2016-2021 to 2018, matching linked vehicle records. Source coverage may be broader; this is not a claim of fitment approval. Dimension, weight and generic Ah ranges are [aftermarket-typical]. No actual BCI standard document is on record. These ranges describe reference products/cases and do not establish vehicle-specific fit.</x:v>
      </x:c>
      <x:c r="E319" s="89" t="str">
        <x:v>C2: qualify typical ranges explicitly.</x:v>
      </x:c>
      <x:c r="F319" s="89" t="str">
        <x:v>Group C reconciliation</x:v>
      </x:c>
      <x:c r="G319" s="90" t="n">
        <x:v>46288</x:v>
      </x:c>
      <x:c r="H319" s="89" t="str">
        <x:v>Applied; remaining qualifications retained</x:v>
      </x:c>
    </x:row>
    <x:row r="320" ht="330" hidden="0" customHeight="1">
      <x:c r="A320" s="89" t="str">
        <x:v>ABC-130</x:v>
      </x:c>
      <x:c r="B320" s="89" t="str">
        <x:v>02_battery_specifications!AY6</x:v>
      </x:c>
      <x:c r="C320" s="89" t="str">
        <x:v>OE PN + H5 group verified (Honda catalog + AutoZone fitment). OE CCA ~450 is owner-reported off the sibling PN's label; aftermarket H5 EFB/AGM are rated 650/680 - kept separate. Group vs 51R remains a logged conflict. Previous status detail: Conflicting group (H5 vs 51R); OE PN verified; CCA OEM vs aftermarket separated. Locator gap retained: the legacy owner-reported ~450 CCA claim for sibling 31500-TLA-A11 cites CRVOwnersClub, but no exact thread URL is on record. The homepage has been removed from source_links; this claim is not freshly verified. Record scope narrowed from 2022-2026 to 2023, matching linked vehicle records. Source coverage may be broader; this is not a claim of fitment approval.</x:v>
      </x:c>
      <x:c r="D320" s="89" t="str">
        <x:v>OE PN + H5 group verified (Honda catalog + AutoZone fitment). OE CCA ~450 is owner-reported off the sibling PN's label; aftermarket H5 EFB/AGM are rated 650/680 - kept separate. Group vs 51R remains a logged conflict. Previous status detail: Conflicting group (H5 vs 51R); OE PN verified; CCA OEM vs aftermarket separated. Locator gap retained: the legacy owner-reported ~450 CCA claim for sibling 31500-TLA-A11 cites CRVOwnersClub, but no exact thread URL is on record. The homepage has been removed from source_links; this claim is not freshly verified. Record scope narrowed from 2022-2026 to 2023, matching linked vehicle records. Source coverage may be broader; this is not a claim of fitment approval. Dimension, weight and generic Ah ranges are [aftermarket-typical]. No actual BCI standard document is on record. These ranges describe reference products/cases and do not establish vehicle-specific fit.</x:v>
      </x:c>
      <x:c r="E320" s="89" t="str">
        <x:v>C2: qualify typical ranges explicitly.</x:v>
      </x:c>
      <x:c r="F320" s="89" t="str">
        <x:v>Group C reconciliation</x:v>
      </x:c>
      <x:c r="G320" s="90" t="n">
        <x:v>46288</x:v>
      </x:c>
      <x:c r="H320" s="89" t="str">
        <x:v>Applied; remaining qualifications retained</x:v>
      </x:c>
    </x:row>
    <x:row r="321" ht="52.79999923706055" hidden="0" customHeight="1">
      <x:c r="A321" s="89" t="str">
        <x:v>ABC-131</x:v>
      </x:c>
      <x:c r="B321" s="89" t="str">
        <x:v>02_battery_specifications!J6</x:v>
      </x:c>
      <x:c r="C321" s="89" t="str">
        <x:v>EFB (OE, Clarios). AGM REQUIRED on trims with auto idle-stop. [basis: OEM part + retailer fitment]</x:v>
      </x:c>
      <x:c r="D321" s="89" t="str">
        <x:v>EFB [OEM] for dealer-listed 31500-TLA-EFB100M. AGM only if the applicable VIN-specific OEM specification requires it; that requirement is Not publicly verified for these linked configurations.</x:v>
      </x:c>
      <x:c r="E321" s="89" t="str">
        <x:v>C3: downgrade blanket AGM requirement to a conditional claim.</x:v>
      </x:c>
      <x:c r="F321" s="89" t="str">
        <x:v>Group C reconciliation</x:v>
      </x:c>
      <x:c r="G321" s="90" t="n">
        <x:v>46288</x:v>
      </x:c>
      <x:c r="H321" s="89" t="str">
        <x:v>Applied; remaining qualifications retained</x:v>
      </x:c>
    </x:row>
    <x:row r="322" ht="105.5999984741211" hidden="0" customHeight="1">
      <x:c r="A322" s="89" t="str">
        <x:v>ABC-132</x:v>
      </x:c>
      <x:c r="B322" s="89" t="str">
        <x:v>02_battery_specifications!AW6</x:v>
      </x:c>
      <x:c r="C322" s="89" t="str">
        <x:v>11th gen reportedly moved to DIN Group 47/H5 (Optima; Advance Auto; AutoZone fitment). A minority of sources still list 51R - treat group as CONFLICTING and confirm by label. Idle-stop-equipped trims REQUIRE AGM, not flooded.</x:v>
      </x:c>
      <x:c r="D322" s="89" t="str">
        <x:v>H5/Group 47 versus 51R remains a source conflict; confirm the installed label and exact vehicle specification. AGM only if the applicable VIN-specific OEM specification requires it; that requirement is Not publicly verified for these linked configurations. Auto idle-stop by itself is not recorded here as proof of an AGM requirement.</x:v>
      </x:c>
      <x:c r="E322" s="89" t="str">
        <x:v>C3: preserve conflict without an unsupported chemistry mandate.</x:v>
      </x:c>
      <x:c r="F322" s="89" t="str">
        <x:v>Group C reconciliation</x:v>
      </x:c>
      <x:c r="G322" s="90" t="n">
        <x:v>46288</x:v>
      </x:c>
      <x:c r="H322" s="89" t="str">
        <x:v>Applied; remaining qualifications retained</x:v>
      </x:c>
    </x:row>
    <x:row r="323" ht="52.79999923706055" hidden="0" customHeight="1">
      <x:c r="A323" s="89" t="str">
        <x:v>ABC-133</x:v>
      </x:c>
      <x:c r="B323" s="89" t="str">
        <x:v>01_vehicles!V7</x:v>
      </x:c>
      <x:c r="C323" s="89" t="str">
        <x:v>EFB (OE); AGM required if idle-stop equipped</x:v>
      </x:c>
      <x:c r="D323" s="89" t="str">
        <x:v>EFB [OEM] for the cited service product. AGM only if the applicable VIN-specific OEM specification requires it; that requirement is Not publicly verified for these linked configurations.</x:v>
      </x:c>
      <x:c r="E323" s="89" t="str">
        <x:v>C3: synchronize vehicle chemistry qualifications.</x:v>
      </x:c>
      <x:c r="F323" s="89" t="str">
        <x:v>Group C reconciliation</x:v>
      </x:c>
      <x:c r="G323" s="90" t="n">
        <x:v>46288</x:v>
      </x:c>
      <x:c r="H323" s="89" t="str">
        <x:v>Applied; remaining qualifications retained</x:v>
      </x:c>
    </x:row>
    <x:row r="324" ht="26.399999618530273" hidden="0" customHeight="1">
      <x:c r="A324" s="89" t="str">
        <x:v>ABC-134</x:v>
      </x:c>
      <x:c r="B324" s="89" t="str">
        <x:v>01_vehicles!T7</x:v>
      </x:c>
      <x:c r="C324" s="89" t="str">
        <x:v>TRUE if idle-stop equipped (AGM)</x:v>
      </x:c>
      <x:c r="D324" s="89" t="str">
        <x:v>Not publicly verified</x:v>
      </x:c>
      <x:c r="E324" s="89" t="str">
        <x:v>C3: idle-stop/AGM does not establish a battery registration requirement.</x:v>
      </x:c>
      <x:c r="F324" s="89" t="str">
        <x:v>Group C reconciliation</x:v>
      </x:c>
      <x:c r="G324" s="90" t="n">
        <x:v>46288</x:v>
      </x:c>
      <x:c r="H324" s="89" t="str">
        <x:v>Applied; remaining qualifications retained</x:v>
      </x:c>
    </x:row>
    <x:row r="325" ht="132" hidden="0" customHeight="1">
      <x:c r="A325" s="89" t="str">
        <x:v>ABC-135</x:v>
      </x:c>
      <x:c r="B325" s="89" t="str">
        <x:v>01_vehicles!AK7</x:v>
      </x:c>
      <x:c r="C325" s="89" t="str">
        <x:v>11th gen reportedly moved from the compact 51R to a DIN Group 47 (H5) (Optima; Advance Auto 2023 fitment = EFB H5, 650 CCA, 110 min RC). One shop guide still lists 51R as common - treat group as CONFLICTING and VIN-verify. Trims with auto start-stop require an AGM battery.</x:v>
      </x:c>
      <x:c r="D325" s="89" t="str">
        <x:v>2023 linked configuration only. H5/47 versus 51R remains unresolved. AGM only if the applicable VIN-specific OEM specification requires it; that requirement is Not publicly verified for these linked configurations. Battery registration/coding also requires exact-configuration service information.</x:v>
      </x:c>
      <x:c r="E325" s="89" t="str">
        <x:v>C3: remove blanket AGM and registration assumptions.</x:v>
      </x:c>
      <x:c r="F325" s="89" t="str">
        <x:v>Group C reconciliation</x:v>
      </x:c>
      <x:c r="G325" s="90" t="n">
        <x:v>46288</x:v>
      </x:c>
      <x:c r="H325" s="89" t="str">
        <x:v>Applied; remaining qualifications retained</x:v>
      </x:c>
    </x:row>
    <x:row r="326" ht="26.399999618530273" hidden="0" customHeight="1">
      <x:c r="A326" s="89" t="str">
        <x:v>ABC-136</x:v>
      </x:c>
      <x:c r="B326" s="89" t="str">
        <x:v>01_vehicles!Y7</x:v>
      </x:c>
      <x:c r="C326" s="89" t="str">
        <x:v>~650 (2023 EFB H5)</x:v>
      </x:c>
      <x:c r="D326" s="89" t="str">
        <x:v>650 CCA [aftermarket] (S7 DieHard H5-EFB product listing); original OEM CCA Not publicly verified</x:v>
      </x:c>
      <x:c r="E326" s="89" t="str">
        <x:v>C3: distinguish retail product ratings from vehicle/OE specifications.</x:v>
      </x:c>
      <x:c r="F326" s="89" t="str">
        <x:v>Group C reconciliation</x:v>
      </x:c>
      <x:c r="G326" s="90" t="n">
        <x:v>46288</x:v>
      </x:c>
      <x:c r="H326" s="89" t="str">
        <x:v>Applied; remaining qualifications retained</x:v>
      </x:c>
    </x:row>
    <x:row r="327" ht="26.399999618530273" hidden="0" customHeight="1">
      <x:c r="A327" s="89" t="str">
        <x:v>ABC-137</x:v>
      </x:c>
      <x:c r="B327" s="89" t="str">
        <x:v>01_vehicles!Z7</x:v>
      </x:c>
      <x:c r="C327" s="89" t="str">
        <x:v>~110 min (2023 EFB H5)</x:v>
      </x:c>
      <x:c r="D327" s="89" t="str">
        <x:v>110 min [aftermarket] (S7 DieHard H5-EFB product listing); original OEM RC Not publicly verified</x:v>
      </x:c>
      <x:c r="E327" s="89" t="str">
        <x:v>C3: distinguish retail product ratings from vehicle/OE specifications.</x:v>
      </x:c>
      <x:c r="F327" s="89" t="str">
        <x:v>Group C reconciliation</x:v>
      </x:c>
      <x:c r="G327" s="90" t="n">
        <x:v>46288</x:v>
      </x:c>
      <x:c r="H327" s="89" t="str">
        <x:v>Applied; remaining qualifications retained</x:v>
      </x:c>
    </x:row>
    <x:row r="328" ht="52.79999923706055" hidden="0" customHeight="1">
      <x:c r="A328" s="89" t="str">
        <x:v>ABC-138</x:v>
      </x:c>
      <x:c r="B328" s="89" t="str">
        <x:v>01_vehicles!V8</x:v>
      </x:c>
      <x:c r="C328" s="89" t="str">
        <x:v>EFB (OE); AGM required if idle-stop equipped</x:v>
      </x:c>
      <x:c r="D328" s="89" t="str">
        <x:v>EFB [OEM] for the cited service product. AGM only if the applicable VIN-specific OEM specification requires it; that requirement is Not publicly verified for these linked configurations.</x:v>
      </x:c>
      <x:c r="E328" s="89" t="str">
        <x:v>C3: synchronize vehicle chemistry qualifications.</x:v>
      </x:c>
      <x:c r="F328" s="89" t="str">
        <x:v>Group C reconciliation</x:v>
      </x:c>
      <x:c r="G328" s="90" t="n">
        <x:v>46288</x:v>
      </x:c>
      <x:c r="H328" s="89" t="str">
        <x:v>Applied; remaining qualifications retained</x:v>
      </x:c>
    </x:row>
    <x:row r="329" ht="26.399999618530273" hidden="0" customHeight="1">
      <x:c r="A329" s="89" t="str">
        <x:v>ABC-139</x:v>
      </x:c>
      <x:c r="B329" s="89" t="str">
        <x:v>01_vehicles!T8</x:v>
      </x:c>
      <x:c r="C329" s="89" t="str">
        <x:v>TRUE if idle-stop equipped (AGM)</x:v>
      </x:c>
      <x:c r="D329" s="89" t="str">
        <x:v>Not publicly verified</x:v>
      </x:c>
      <x:c r="E329" s="89" t="str">
        <x:v>C3: idle-stop/AGM does not establish a battery registration requirement.</x:v>
      </x:c>
      <x:c r="F329" s="89" t="str">
        <x:v>Group C reconciliation</x:v>
      </x:c>
      <x:c r="G329" s="90" t="n">
        <x:v>46288</x:v>
      </x:c>
      <x:c r="H329" s="89" t="str">
        <x:v>Applied; remaining qualifications retained</x:v>
      </x:c>
    </x:row>
    <x:row r="330" ht="79.19999694824219" hidden="0" customHeight="1">
      <x:c r="A330" s="89" t="str">
        <x:v>ABC-140</x:v>
      </x:c>
      <x:c r="B330" s="89" t="str">
        <x:v>01_vehicles!AK8</x:v>
      </x:c>
      <x:c r="C330" s="89" t="str">
        <x:v>Same 11th-gen H5/Group-47 battery question as the 2.0L (conflicting vs 51R). 1.5T alternator differs from 2.0L. AGM required on idle-stop-equipped trims.</x:v>
      </x:c>
      <x:c r="D330" s="89" t="str">
        <x:v>2023 linked configuration only. H5/47 versus 51R remains unresolved. AGM only if the applicable VIN-specific OEM specification requires it; that requirement is Not publicly verified for these linked configurations. Battery registration/coding also requires exact-configuration service information.</x:v>
      </x:c>
      <x:c r="E330" s="89" t="str">
        <x:v>C3: remove blanket AGM and registration assumptions.</x:v>
      </x:c>
      <x:c r="F330" s="89" t="str">
        <x:v>Group C reconciliation</x:v>
      </x:c>
      <x:c r="G330" s="90" t="n">
        <x:v>46288</x:v>
      </x:c>
      <x:c r="H330" s="89" t="str">
        <x:v>Applied; remaining qualifications retained</x:v>
      </x:c>
    </x:row>
    <x:row r="331" ht="26.399999618530273" hidden="0" customHeight="1">
      <x:c r="A331" s="89" t="str">
        <x:v>ABC-141</x:v>
      </x:c>
      <x:c r="B331" s="89" t="str">
        <x:v>01_vehicles!Y8</x:v>
      </x:c>
      <x:c r="C331" s="89" t="str">
        <x:v>~650 (EFB H5)</x:v>
      </x:c>
      <x:c r="D331" s="89" t="str">
        <x:v>650 CCA [aftermarket] (S7 DieHard H5-EFB product listing); original OEM CCA Not publicly verified</x:v>
      </x:c>
      <x:c r="E331" s="89" t="str">
        <x:v>C3: distinguish retail product ratings from vehicle/OE specifications.</x:v>
      </x:c>
      <x:c r="F331" s="89" t="str">
        <x:v>Group C reconciliation</x:v>
      </x:c>
      <x:c r="G331" s="90" t="n">
        <x:v>46288</x:v>
      </x:c>
      <x:c r="H331" s="89" t="str">
        <x:v>Applied; remaining qualifications retained</x:v>
      </x:c>
    </x:row>
    <x:row r="332" ht="26.399999618530273" hidden="0" customHeight="1">
      <x:c r="A332" s="89" t="str">
        <x:v>ABC-142</x:v>
      </x:c>
      <x:c r="B332" s="89" t="str">
        <x:v>01_vehicles!Z8</x:v>
      </x:c>
      <x:c r="C332" s="89" t="str">
        <x:v>~110 min</x:v>
      </x:c>
      <x:c r="D332" s="89" t="str">
        <x:v>110 min [aftermarket] (S7 DieHard H5-EFB product listing); original OEM RC Not publicly verified</x:v>
      </x:c>
      <x:c r="E332" s="89" t="str">
        <x:v>C3: distinguish retail product ratings from vehicle/OE specifications.</x:v>
      </x:c>
      <x:c r="F332" s="89" t="str">
        <x:v>Group C reconciliation</x:v>
      </x:c>
      <x:c r="G332" s="90" t="n">
        <x:v>46288</x:v>
      </x:c>
      <x:c r="H332" s="89" t="str">
        <x:v>Applied; remaining qualifications retained</x:v>
      </x:c>
    </x:row>
    <x:row r="333" ht="39.599998474121094" hidden="0" customHeight="1">
      <x:c r="A333" s="89" t="str">
        <x:v>ABC-143</x:v>
      </x:c>
      <x:c r="B333" s="89" t="str">
        <x:v>01b_sources!E9</x:v>
      </x:c>
      <x:c r="C333" s="89" t="str">
        <x:v>11th gen moved to DIN H5/H6; start-stop trims require AGM; Si/Type R larger case</x:v>
      </x:c>
      <x:c r="D333" s="89" t="str">
        <x:v>Historical RevCivic claims: H5/H6 and larger performance cases; article asserts AGM for idle-stop. This is a source claim, not exact-configuration OEM support.</x:v>
      </x:c>
      <x:c r="E333" s="89" t="str">
        <x:v>C3: prevent the source summary from retaining an unqualified mandate.</x:v>
      </x:c>
      <x:c r="F333" s="89" t="str">
        <x:v>Group C reconciliation</x:v>
      </x:c>
      <x:c r="G333" s="90" t="n">
        <x:v>46288</x:v>
      </x:c>
      <x:c r="H333" s="89" t="str">
        <x:v>Applied; remaining qualifications retained</x:v>
      </x:c>
    </x:row>
    <x:row r="334" ht="39.599998474121094" hidden="0" customHeight="1">
      <x:c r="A334" s="89" t="str">
        <x:v>ABC-144</x:v>
      </x:c>
      <x:c r="B334" s="89" t="str">
        <x:v>01_vehicles!AF3</x:v>
      </x:c>
      <x:c r="C334" s="89" t="str">
        <x:v>~13.5-14.5 at idle; dual-mode (charge ~14.4-14.5 / economy ~12.4-12.9)</x:v>
      </x:c>
      <x:c r="D334" s="89" t="str">
        <x:v>Not publicly verified for this model year and configuration</x:v>
      </x:c>
      <x:c r="E334" s="89" t="str">
        <x:v>C1: 1990–2012 guide cannot verify 2018/2023 charging setpoints.</x:v>
      </x:c>
      <x:c r="F334" s="89" t="str">
        <x:v>Group C reconciliation</x:v>
      </x:c>
      <x:c r="G334" s="90" t="n">
        <x:v>46288</x:v>
      </x:c>
      <x:c r="H334" s="89" t="str">
        <x:v>Applied; remaining qualifications retained</x:v>
      </x:c>
    </x:row>
    <x:row r="335" ht="39.599998474121094" hidden="0" customHeight="1">
      <x:c r="A335" s="89" t="str">
        <x:v>ABC-145</x:v>
      </x:c>
      <x:c r="B335" s="89" t="str">
        <x:v>01_vehicles!AG3</x:v>
      </x:c>
      <x:c r="C335" s="89" t="str">
        <x:v>Internal alternator regulator, PCM-controlled via ELD (dual-mode)</x:v>
      </x:c>
      <x:c r="D335" s="89" t="str">
        <x:v>Not publicly verified for this model year and configuration</x:v>
      </x:c>
      <x:c r="E335" s="89" t="str">
        <x:v>C1: generic older ELD architecture is not an exact-year specification.</x:v>
      </x:c>
      <x:c r="F335" s="89" t="str">
        <x:v>Group C reconciliation</x:v>
      </x:c>
      <x:c r="G335" s="90" t="n">
        <x:v>46288</x:v>
      </x:c>
      <x:c r="H335" s="89" t="str">
        <x:v>Applied; remaining qualifications retained</x:v>
      </x:c>
    </x:row>
    <x:row r="336" ht="118.80000305175781" hidden="0" customHeight="1">
      <x:c r="A336" s="89" t="str">
        <x:v>ABC-146</x:v>
      </x:c>
      <x:c r="B336" s="89" t="str">
        <x:v>01_vehicles!AJ3</x:v>
      </x:c>
      <x:c r="C336" s="89" t="str">
        <x:v>Computer-controlled dual-mode charging: an Electrical Load Detector (ELD) in the underhood fuse box lets the PCM switch the alternator between high and low output for fuel economy. Honda service literature advises an OEM or quality remanufactured alternator.</x:v>
      </x:c>
      <x:c r="D336" s="89" t="str">
        <x:v>S9 and S12 describe older/general Honda charging systems; S12 explicitly covers 1990–2012. They do not establish the architecture or setpoints for this 2018/2023 configuration. Exact-year service information is required.</x:v>
      </x:c>
      <x:c r="E336" s="89" t="str">
        <x:v>C1: keep older-source coverage outside current specifications.</x:v>
      </x:c>
      <x:c r="F336" s="89" t="str">
        <x:v>Group C reconciliation</x:v>
      </x:c>
      <x:c r="G336" s="90" t="n">
        <x:v>46288</x:v>
      </x:c>
      <x:c r="H336" s="89" t="str">
        <x:v>Applied; remaining qualifications retained</x:v>
      </x:c>
    </x:row>
    <x:row r="337" ht="211.1999969482422" hidden="0" customHeight="1">
      <x:c r="A337" s="89" t="str">
        <x:v>ABC-147</x:v>
      </x:c>
      <x:c r="B337" s="89" t="str">
        <x:v>01_vehicles!AQ3</x:v>
      </x:c>
      <x:c r="C337" s="89" t="str">
        <x:v>Legacy research; not revalidated in this batch;  CCA correction: this vehicle sheet was stale; 410–450 was incorrectly labelled OE. B-CIV-001 separates OEM ~400 and aftermarket ~410–450. S31 independently states 400 CCA for the named service product. Scope reconciliation: model_year_range 2016-2021 narrowed to 2018. Broader model-generation/source coverage does not establish every specification across that range.</x:v>
      </x:c>
      <x:c r="D337" s="89" t="str">
        <x:v>Legacy research; not revalidated in this batch;  CCA correction: this vehicle sheet was stale; 410–450 was incorrectly labelled OE. B-CIV-001 separates OEM ~400 and aftermarket ~410–450. S31 independently states 400 CCA for the named service product. Scope reconciliation: model_year_range 2016-2021 narrowed to 2018. Broader model-generation/source coverage does not establish every specification across that range. Historical charging claim retained for audit: ~13.5-14.5 at idle; dual-mode (charge ~14.4-14.5 / economy ~12.4-12.9). It is not an accepted setpoint for this row.</x:v>
      </x:c>
      <x:c r="E337" s="89" t="str">
        <x:v>C1: preserve prior evidence after scope correction.</x:v>
      </x:c>
      <x:c r="F337" s="89" t="str">
        <x:v>Group C reconciliation</x:v>
      </x:c>
      <x:c r="G337" s="90" t="n">
        <x:v>46288</x:v>
      </x:c>
      <x:c r="H337" s="89" t="str">
        <x:v>Applied; remaining qualifications retained</x:v>
      </x:c>
    </x:row>
    <x:row r="338" ht="39.599998474121094" hidden="0" customHeight="1">
      <x:c r="A338" s="89" t="str">
        <x:v>ABC-148</x:v>
      </x:c>
      <x:c r="B338" s="89" t="str">
        <x:v>01_vehicles!AF4</x:v>
      </x:c>
      <x:c r="C338" s="89" t="str">
        <x:v>~13.5-14.5 at idle; dual-mode (charge ~14.4-14.5 / economy ~12.4-12.9)</x:v>
      </x:c>
      <x:c r="D338" s="89" t="str">
        <x:v>Not publicly verified for this model year and configuration</x:v>
      </x:c>
      <x:c r="E338" s="89" t="str">
        <x:v>C1: 1990–2012 guide cannot verify 2018/2023 charging setpoints.</x:v>
      </x:c>
      <x:c r="F338" s="89" t="str">
        <x:v>Group C reconciliation</x:v>
      </x:c>
      <x:c r="G338" s="90" t="n">
        <x:v>46288</x:v>
      </x:c>
      <x:c r="H338" s="89" t="str">
        <x:v>Applied; remaining qualifications retained</x:v>
      </x:c>
    </x:row>
    <x:row r="339" ht="39.599998474121094" hidden="0" customHeight="1">
      <x:c r="A339" s="89" t="str">
        <x:v>ABC-149</x:v>
      </x:c>
      <x:c r="B339" s="89" t="str">
        <x:v>01_vehicles!AG4</x:v>
      </x:c>
      <x:c r="C339" s="89" t="str">
        <x:v>Internal alternator regulator, PCM-controlled via ELD (dual-mode)</x:v>
      </x:c>
      <x:c r="D339" s="89" t="str">
        <x:v>Not publicly verified for this model year and configuration</x:v>
      </x:c>
      <x:c r="E339" s="89" t="str">
        <x:v>C1: generic older ELD architecture is not an exact-year specification.</x:v>
      </x:c>
      <x:c r="F339" s="89" t="str">
        <x:v>Group C reconciliation</x:v>
      </x:c>
      <x:c r="G339" s="90" t="n">
        <x:v>46288</x:v>
      </x:c>
      <x:c r="H339" s="89" t="str">
        <x:v>Applied; remaining qualifications retained</x:v>
      </x:c>
    </x:row>
    <x:row r="340" ht="118.80000305175781" hidden="0" customHeight="1">
      <x:c r="A340" s="89" t="str">
        <x:v>ABC-150</x:v>
      </x:c>
      <x:c r="B340" s="89" t="str">
        <x:v>01_vehicles!AJ4</x:v>
      </x:c>
      <x:c r="C340" s="89" t="str">
        <x:v>Computer-controlled dual-mode charging: an Electrical Load Detector (ELD) in the underhood fuse box lets the PCM switch the alternator between high and low output for fuel economy. Honda service literature advises an OEM or quality remanufactured alternator.</x:v>
      </x:c>
      <x:c r="D340" s="89" t="str">
        <x:v>S9 and S12 describe older/general Honda charging systems; S12 explicitly covers 1990–2012. They do not establish the architecture or setpoints for this 2018/2023 configuration. Exact-year service information is required.</x:v>
      </x:c>
      <x:c r="E340" s="89" t="str">
        <x:v>C1: keep older-source coverage outside current specifications.</x:v>
      </x:c>
      <x:c r="F340" s="89" t="str">
        <x:v>Group C reconciliation</x:v>
      </x:c>
      <x:c r="G340" s="90" t="n">
        <x:v>46288</x:v>
      </x:c>
      <x:c r="H340" s="89" t="str">
        <x:v>Applied; remaining qualifications retained</x:v>
      </x:c>
    </x:row>
    <x:row r="341" ht="211.1999969482422" hidden="0" customHeight="1">
      <x:c r="A341" s="89" t="str">
        <x:v>ABC-151</x:v>
      </x:c>
      <x:c r="B341" s="89" t="str">
        <x:v>01_vehicles!AQ4</x:v>
      </x:c>
      <x:c r="C341" s="89" t="str">
        <x:v>Legacy research; not revalidated in this batch;  CCA correction: this vehicle sheet was stale; 410–450 was incorrectly labelled OE. B-CIV-001 separates OEM ~400 and aftermarket ~410–450. S31 independently states 400 CCA for the named service product. Scope reconciliation: model_year_range 2016-2021 narrowed to 2018. Broader model-generation/source coverage does not establish every specification across that range.</x:v>
      </x:c>
      <x:c r="D341" s="89" t="str">
        <x:v>Legacy research; not revalidated in this batch;  CCA correction: this vehicle sheet was stale; 410–450 was incorrectly labelled OE. B-CIV-001 separates OEM ~400 and aftermarket ~410–450. S31 independently states 400 CCA for the named service product. Scope reconciliation: model_year_range 2016-2021 narrowed to 2018. Broader model-generation/source coverage does not establish every specification across that range. Historical charging claim retained for audit: ~13.5-14.5 at idle; dual-mode (charge ~14.4-14.5 / economy ~12.4-12.9). It is not an accepted setpoint for this row.</x:v>
      </x:c>
      <x:c r="E341" s="89" t="str">
        <x:v>C1: preserve prior evidence after scope correction.</x:v>
      </x:c>
      <x:c r="F341" s="89" t="str">
        <x:v>Group C reconciliation</x:v>
      </x:c>
      <x:c r="G341" s="90" t="n">
        <x:v>46288</x:v>
      </x:c>
      <x:c r="H341" s="89" t="str">
        <x:v>Applied; remaining qualifications retained</x:v>
      </x:c>
    </x:row>
    <x:row r="342" ht="39.599998474121094" hidden="0" customHeight="1">
      <x:c r="A342" s="89" t="str">
        <x:v>ABC-152</x:v>
      </x:c>
      <x:c r="B342" s="89" t="str">
        <x:v>01_vehicles!AF7</x:v>
      </x:c>
      <x:c r="C342" s="89" t="str">
        <x:v>~13.5-14.5 at idle; dual-mode (charge ~14.4-14.5 / economy ~12.4-12.9)</x:v>
      </x:c>
      <x:c r="D342" s="89" t="str">
        <x:v>Not publicly verified for this model year and configuration</x:v>
      </x:c>
      <x:c r="E342" s="89" t="str">
        <x:v>C1: 1990–2012 guide cannot verify 2018/2023 charging setpoints.</x:v>
      </x:c>
      <x:c r="F342" s="89" t="str">
        <x:v>Group C reconciliation</x:v>
      </x:c>
      <x:c r="G342" s="90" t="n">
        <x:v>46288</x:v>
      </x:c>
      <x:c r="H342" s="89" t="str">
        <x:v>Applied; remaining qualifications retained</x:v>
      </x:c>
    </x:row>
    <x:row r="343" ht="39.599998474121094" hidden="0" customHeight="1">
      <x:c r="A343" s="89" t="str">
        <x:v>ABC-153</x:v>
      </x:c>
      <x:c r="B343" s="89" t="str">
        <x:v>01_vehicles!AG7</x:v>
      </x:c>
      <x:c r="C343" s="89" t="str">
        <x:v>Internal alternator regulator, PCM-controlled via ELD (dual-mode)</x:v>
      </x:c>
      <x:c r="D343" s="89" t="str">
        <x:v>Not publicly verified for this model year and configuration</x:v>
      </x:c>
      <x:c r="E343" s="89" t="str">
        <x:v>C1: generic older ELD architecture is not an exact-year specification.</x:v>
      </x:c>
      <x:c r="F343" s="89" t="str">
        <x:v>Group C reconciliation</x:v>
      </x:c>
      <x:c r="G343" s="90" t="n">
        <x:v>46288</x:v>
      </x:c>
      <x:c r="H343" s="89" t="str">
        <x:v>Applied; remaining qualifications retained</x:v>
      </x:c>
    </x:row>
    <x:row r="344" ht="118.80000305175781" hidden="0" customHeight="1">
      <x:c r="A344" s="89" t="str">
        <x:v>ABC-154</x:v>
      </x:c>
      <x:c r="B344" s="89" t="str">
        <x:v>01_vehicles!AJ7</x:v>
      </x:c>
      <x:c r="C344" s="89" t="str">
        <x:v>Computer-controlled dual-mode charging: an Electrical Load Detector (ELD) in the underhood fuse box lets the PCM switch the alternator between high and low output for fuel economy. Honda service literature advises an OEM or quality remanufactured alternator.</x:v>
      </x:c>
      <x:c r="D344" s="89" t="str">
        <x:v>S9 and S12 describe older/general Honda charging systems; S12 explicitly covers 1990–2012. They do not establish the architecture or setpoints for this 2018/2023 configuration. Exact-year service information is required.</x:v>
      </x:c>
      <x:c r="E344" s="89" t="str">
        <x:v>C1: keep older-source coverage outside current specifications.</x:v>
      </x:c>
      <x:c r="F344" s="89" t="str">
        <x:v>Group C reconciliation</x:v>
      </x:c>
      <x:c r="G344" s="90" t="n">
        <x:v>46288</x:v>
      </x:c>
      <x:c r="H344" s="89" t="str">
        <x:v>Applied; remaining qualifications retained</x:v>
      </x:c>
    </x:row>
    <x:row r="345" ht="118.80000305175781" hidden="0" customHeight="1">
      <x:c r="A345" s="89" t="str">
        <x:v>ABC-155</x:v>
      </x:c>
      <x:c r="B345" s="89" t="str">
        <x:v>01_vehicles!AQ7</x:v>
      </x:c>
      <x:c r="C345" s="89" t="str">
        <x:v>Legacy research; not revalidated in this batch;  Scope reconciliation: model_year_range 2022-2025 narrowed to 2023. Broader model-generation/source coverage does not establish every specification across that range.</x:v>
      </x:c>
      <x:c r="D345" s="89" t="str">
        <x:v>Legacy research; not revalidated in this batch;  Scope reconciliation: model_year_range 2022-2025 narrowed to 2023. Broader model-generation/source coverage does not establish every specification across that range. Historical charging claim retained for audit: ~13.5-14.5 at idle; dual-mode (charge ~14.4-14.5 / economy ~12.4-12.9). It is not an accepted setpoint for this row.</x:v>
      </x:c>
      <x:c r="E345" s="89" t="str">
        <x:v>C1: preserve prior evidence after scope correction.</x:v>
      </x:c>
      <x:c r="F345" s="89" t="str">
        <x:v>Group C reconciliation</x:v>
      </x:c>
      <x:c r="G345" s="90" t="n">
        <x:v>46288</x:v>
      </x:c>
      <x:c r="H345" s="89" t="str">
        <x:v>Applied; remaining qualifications retained</x:v>
      </x:c>
    </x:row>
    <x:row r="346" ht="39.599998474121094" hidden="0" customHeight="1">
      <x:c r="A346" s="89" t="str">
        <x:v>ABC-156</x:v>
      </x:c>
      <x:c r="B346" s="89" t="str">
        <x:v>01_vehicles!AF8</x:v>
      </x:c>
      <x:c r="C346" s="89" t="str">
        <x:v>~13.5-14.5 at idle; dual-mode (charge ~14.4-14.5 / economy ~12.4-12.9)</x:v>
      </x:c>
      <x:c r="D346" s="89" t="str">
        <x:v>Not publicly verified for this model year and configuration</x:v>
      </x:c>
      <x:c r="E346" s="89" t="str">
        <x:v>C1: 1990–2012 guide cannot verify 2018/2023 charging setpoints.</x:v>
      </x:c>
      <x:c r="F346" s="89" t="str">
        <x:v>Group C reconciliation</x:v>
      </x:c>
      <x:c r="G346" s="90" t="n">
        <x:v>46288</x:v>
      </x:c>
      <x:c r="H346" s="89" t="str">
        <x:v>Applied; remaining qualifications retained</x:v>
      </x:c>
    </x:row>
    <x:row r="347" ht="39.599998474121094" hidden="0" customHeight="1">
      <x:c r="A347" s="89" t="str">
        <x:v>ABC-157</x:v>
      </x:c>
      <x:c r="B347" s="89" t="str">
        <x:v>01_vehicles!AG8</x:v>
      </x:c>
      <x:c r="C347" s="89" t="str">
        <x:v>Internal alternator regulator, PCM-controlled via ELD (dual-mode)</x:v>
      </x:c>
      <x:c r="D347" s="89" t="str">
        <x:v>Not publicly verified for this model year and configuration</x:v>
      </x:c>
      <x:c r="E347" s="89" t="str">
        <x:v>C1: generic older ELD architecture is not an exact-year specification.</x:v>
      </x:c>
      <x:c r="F347" s="89" t="str">
        <x:v>Group C reconciliation</x:v>
      </x:c>
      <x:c r="G347" s="90" t="n">
        <x:v>46288</x:v>
      </x:c>
      <x:c r="H347" s="89" t="str">
        <x:v>Applied; remaining qualifications retained</x:v>
      </x:c>
    </x:row>
    <x:row r="348" ht="118.80000305175781" hidden="0" customHeight="1">
      <x:c r="A348" s="89" t="str">
        <x:v>ABC-158</x:v>
      </x:c>
      <x:c r="B348" s="89" t="str">
        <x:v>01_vehicles!AJ8</x:v>
      </x:c>
      <x:c r="C348" s="89" t="str">
        <x:v>Computer-controlled dual-mode charging: an Electrical Load Detector (ELD) in the underhood fuse box lets the PCM switch the alternator between high and low output for fuel economy. Honda service literature advises an OEM or quality remanufactured alternator.</x:v>
      </x:c>
      <x:c r="D348" s="89" t="str">
        <x:v>S9 and S12 describe older/general Honda charging systems; S12 explicitly covers 1990–2012. They do not establish the architecture or setpoints for this 2018/2023 configuration. Exact-year service information is required.</x:v>
      </x:c>
      <x:c r="E348" s="89" t="str">
        <x:v>C1: keep older-source coverage outside current specifications.</x:v>
      </x:c>
      <x:c r="F348" s="89" t="str">
        <x:v>Group C reconciliation</x:v>
      </x:c>
      <x:c r="G348" s="90" t="n">
        <x:v>46288</x:v>
      </x:c>
      <x:c r="H348" s="89" t="str">
        <x:v>Applied; remaining qualifications retained</x:v>
      </x:c>
    </x:row>
    <x:row r="349" ht="118.80000305175781" hidden="0" customHeight="1">
      <x:c r="A349" s="89" t="str">
        <x:v>ABC-159</x:v>
      </x:c>
      <x:c r="B349" s="89" t="str">
        <x:v>01_vehicles!AQ8</x:v>
      </x:c>
      <x:c r="C349" s="89" t="str">
        <x:v>Legacy research; not revalidated in this batch;  Scope reconciliation: model_year_range 2022-2025 narrowed to 2023. Broader model-generation/source coverage does not establish every specification across that range.</x:v>
      </x:c>
      <x:c r="D349" s="89" t="str">
        <x:v>Legacy research; not revalidated in this batch;  Scope reconciliation: model_year_range 2022-2025 narrowed to 2023. Broader model-generation/source coverage does not establish every specification across that range. Historical charging claim retained for audit: ~13.5-14.5 at idle; dual-mode (charge ~14.4-14.5 / economy ~12.4-12.9). It is not an accepted setpoint for this row.</x:v>
      </x:c>
      <x:c r="E349" s="89" t="str">
        <x:v>C1: preserve prior evidence after scope correction.</x:v>
      </x:c>
      <x:c r="F349" s="89" t="str">
        <x:v>Group C reconciliation</x:v>
      </x:c>
      <x:c r="G349" s="90" t="n">
        <x:v>46288</x:v>
      </x:c>
      <x:c r="H349" s="89" t="str">
        <x:v>Applied; remaining qualifications retained</x:v>
      </x:c>
    </x:row>
    <x:row r="350" ht="132" hidden="0" customHeight="1">
      <x:c r="A350" s="89" t="str">
        <x:v>ABC-160</x:v>
      </x:c>
      <x:c r="B350" s="89" t="str">
        <x:v>00_README!B35</x:v>
      </x:c>
      <x:c r="C350" s="89" t="str">
        <x:v>Corrected 2026-09-23: separated 7 real parts and 6 fitment assertions from demo sheets; restored Civic conflicts; normalized statuses and linkage keys; merged Camry aftermarket candidate; added RAV4 HV row. Type A/B 285/286 CCA matches the printed manual.</x:v>
      </x:c>
      <x:c r="D350" s="89" t="str">
        <x:v>Groups A–C reconciled 2026-09-23. CCA agrees across sheets; naming-derived CA/RC is labelled inferred. Honda ERGs are separate versioned sources. URLs repaired or explicitly missing. Linked record years align; typical ranges and conditional AGM claims are labelled. No vehicle or battery rows added.</x:v>
      </x:c>
      <x:c r="E350" s="89" t="str">
        <x:v>Close approved reconciliation groups.</x:v>
      </x:c>
      <x:c r="F350" s="89" t="str">
        <x:v>Group C reconciliation</x:v>
      </x:c>
      <x:c r="G350" s="90" t="n">
        <x:v>46288</x:v>
      </x:c>
      <x:c r="H350" s="89" t="str">
        <x:v>Applied; remaining qualifications retained</x:v>
      </x:c>
    </x:row>
    <x:row r="351" ht="145.1999969482422" hidden="0" customHeight="1">
      <x:c r="A351" s="89" t="str">
        <x:v>ABC-161</x:v>
      </x:c>
      <x:c r="B351" s="89" t="str">
        <x:v>00_README!B39</x:v>
      </x:c>
      <x:c r="C351" s="89" t="str">
        <x:v>Real research is in 02_real_parts and 03_real_fitments. Licensed identity mappings, installed-battery qualifiers, physical checks and technician review are still required before fitment approval. Battery verification_status uses the controlled enum; detail belongs in verification_notes.</x:v>
      </x:c>
      <x:c r="D351" s="89" t="str">
        <x:v>Unresolved evidence remains explicit: 11 legacy sources have no URL on record; older/general references do not establish exact-year specifications. Canadian and American ERG procedures remain version-specific. Real fitments remain staged pending identity mappings, physical checks and technician review.</x:v>
      </x:c>
      <x:c r="E351" s="89" t="str">
        <x:v>Report remaining evidence gaps without overstating closure.</x:v>
      </x:c>
      <x:c r="F351" s="89" t="str">
        <x:v>Group C reconciliation</x:v>
      </x:c>
      <x:c r="G351" s="90" t="n">
        <x:v>46288</x:v>
      </x:c>
      <x:c r="H351" s="89" t="str">
        <x:v>Applied; remaining qualifications retained</x:v>
      </x:c>
    </x:row>
  </x:sheetData>
  <x:mergeCells>
    <x:mergeCell ref="A27:E27"/>
    <x:mergeCell ref="A28:E28"/>
    <x:mergeCell ref="A29:E29"/>
    <x:mergeCell ref="A30:E30"/>
    <x:mergeCell ref="A31:E31"/>
    <x:mergeCell ref="A33:E33"/>
  </x:mergeCells>
  <x:pageMargins left="0.7" right="0.7" top="0.75" bottom="0.75" header="0.3" footer="0.3"/>
</x:worksheet>
</file>

<file path=xl/worksheets/sheet5.xml><?xml version="1.0" encoding="utf-8"?>
<x:worksheet xmlns:x="http://schemas.openxmlformats.org/spreadsheetml/2006/main">
  <x:sheetViews>
    <x:sheetView showGridLines="1" workbookViewId="0">
      <x:pane xSplit="1" ySplit="2" topLeftCell="B3" activePane="bottomRight" state="frozen"/>
    </x:sheetView>
  </x:sheetViews>
  <x:sheetFormatPr defaultColWidth="8.6796875" defaultRowHeight="15"/>
  <x:cols>
    <x:col min="1" max="1" width="12" style="1" hidden="0" customWidth="1"/>
    <x:col min="2" max="2" width="13" style="1" hidden="0" customWidth="1"/>
    <x:col min="3" max="3" width="10" style="1" hidden="0" customWidth="1"/>
    <x:col min="4" max="4" width="13" style="1" hidden="0" customWidth="1"/>
    <x:col min="5" max="5" width="26" style="1" hidden="0" customWidth="1"/>
    <x:col min="6" max="7" width="20" style="1" hidden="0" customWidth="1"/>
    <x:col min="8" max="8" width="16" style="1" hidden="0" customWidth="1"/>
    <x:col min="9" max="9" width="22" style="1" hidden="0" customWidth="1"/>
    <x:col min="10" max="10" width="30" style="1" hidden="0" customWidth="1"/>
    <x:col min="11" max="11" width="34" style="1" hidden="0" customWidth="1"/>
    <x:col min="12" max="12" width="42" style="1" hidden="0" customWidth="1"/>
    <x:col min="13" max="13" width="30" style="1" hidden="0" customWidth="1"/>
    <x:col min="14" max="14" width="14" style="1" hidden="0" customWidth="1"/>
    <x:col min="15" max="15" width="34" style="1" hidden="0" customWidth="1"/>
    <x:col min="16" max="16" width="46" style="1" hidden="0" customWidth="1"/>
    <x:col min="17" max="18" width="40" style="1" hidden="0" customWidth="1"/>
    <x:col min="19" max="19" width="30" style="1" hidden="0" customWidth="1"/>
    <x:col min="20" max="21" width="34" style="1" hidden="0" customWidth="1"/>
    <x:col min="22" max="26" width="26" style="1" hidden="0" customWidth="1"/>
    <x:col min="27" max="27" width="30" style="1" hidden="0" customWidth="1"/>
    <x:col min="28" max="28" width="26" style="1" hidden="0" customWidth="1"/>
    <x:col min="29" max="29" width="30" style="1" hidden="0" customWidth="1"/>
    <x:col min="30" max="31" width="40" style="1" hidden="0" customWidth="1"/>
    <x:col min="32" max="33" width="34" style="1" hidden="0" customWidth="1"/>
    <x:col min="34" max="34" width="18" style="1" hidden="0" customWidth="1"/>
    <x:col min="35" max="36" width="16" style="1" hidden="0" customWidth="1"/>
    <x:col min="37" max="37" width="18" style="1" hidden="0" customWidth="1"/>
    <x:col min="38" max="38" width="22" style="1" hidden="0" customWidth="1"/>
    <x:col min="39" max="40" width="18" style="1" hidden="0" customWidth="1"/>
    <x:col min="41" max="41" width="22" style="1" hidden="0" customWidth="1"/>
    <x:col min="42" max="42" width="34" style="1" hidden="0" customWidth="1"/>
    <x:col min="43" max="43" width="18" style="1" hidden="0" customWidth="1"/>
    <x:col min="44" max="44" width="20" style="1" hidden="0" customWidth="1"/>
    <x:col min="45" max="45" width="18" style="1" hidden="0" customWidth="1"/>
    <x:col min="46" max="46" width="26" style="1" hidden="0" customWidth="1"/>
    <x:col min="47" max="47" width="60" style="1" hidden="0" customWidth="1"/>
    <x:col min="48" max="48" width="34" style="1" hidden="0" customWidth="1"/>
    <x:col min="49" max="49" width="70" style="1" hidden="0" customWidth="1"/>
    <x:col min="50" max="50" width="64" style="1" hidden="0" customWidth="1"/>
    <x:col min="51" max="51" width="70" style="1" hidden="0" customWidth="1"/>
    <x:col min="52" max="52" width="34" style="1" hidden="0" customWidth="1"/>
    <x:col min="53" max="53" width="13" style="1" hidden="0" customWidth="1"/>
  </x:cols>
  <x:sheetData>
    <x:row r="1" ht="54" hidden="0" customHeight="1">
      <x:c r="A1" s="41" t="str">
        <x:v>Battery reference: verified source claims and explicit unknowns. Linked 910xxx values are legacy local sample references, NOT licensed VCdb IDs. New numeric fields use basis/source maps in AY. Product ratings and vehicle requirements remain separate.</x:v>
      </x:c>
      <x:c r="B1" s="41"/>
      <x:c r="C1" s="41"/>
      <x:c r="D1" s="41"/>
      <x:c r="E1" s="41"/>
      <x:c r="F1" s="41"/>
      <x:c r="G1" s="41"/>
      <x:c r="H1" s="41"/>
      <x:c r="I1" s="41"/>
      <x:c r="J1" s="41"/>
      <x:c r="K1" s="41"/>
      <x:c r="L1" s="41"/>
      <x:c r="M1" s="41"/>
      <x:c r="N1" s="41"/>
      <x:c r="O1" s="41"/>
      <x:c r="P1" s="41"/>
      <x:c r="Q1" s="41"/>
      <x:c r="R1" s="41"/>
      <x:c r="S1" s="41"/>
      <x:c r="T1" s="41"/>
      <x:c r="U1" s="41"/>
      <x:c r="V1" s="41"/>
      <x:c r="W1" s="41"/>
      <x:c r="X1" s="41"/>
      <x:c r="Y1" s="41"/>
      <x:c r="Z1" s="41"/>
      <x:c r="AA1" s="41"/>
      <x:c r="AB1" s="41"/>
      <x:c r="AC1" s="41"/>
      <x:c r="AD1" s="41"/>
      <x:c r="AE1" s="41"/>
      <x:c r="AF1" s="41"/>
      <x:c r="AG1" s="41"/>
      <x:c r="AH1" s="41"/>
      <x:c r="AI1" s="41"/>
      <x:c r="AJ1" s="41"/>
      <x:c r="AK1" s="41"/>
      <x:c r="AL1" s="41"/>
      <x:c r="AM1" s="41"/>
      <x:c r="AN1" s="41"/>
      <x:c r="AO1" s="41"/>
      <x:c r="AP1" s="41"/>
      <x:c r="AQ1" s="41"/>
      <x:c r="AR1" s="41"/>
      <x:c r="AS1" s="41"/>
      <x:c r="AT1" s="41"/>
      <x:c r="AU1" s="41"/>
      <x:c r="AV1" s="41"/>
      <x:c r="AW1" s="41"/>
      <x:c r="AX1" s="41"/>
      <x:c r="AY1" s="41"/>
      <x:c r="AZ1" s="41"/>
      <x:c r="BA1" s="41"/>
    </x:row>
    <x:row r="2" ht="43.5" hidden="0" customHeight="1">
      <x:c r="A2" s="16" t="s">
        <x:v>258</x:v>
      </x:c>
      <x:c r="B2" s="16" t="s">
        <x:v>590</x:v>
      </x:c>
      <x:c r="C2" s="16" t="s">
        <x:v>591</x:v>
      </x:c>
      <x:c r="D2" s="16" t="s">
        <x:v>111</x:v>
      </x:c>
      <x:c r="E2" s="16" t="s">
        <x:v>592</x:v>
      </x:c>
      <x:c r="F2" s="16" t="s">
        <x:v>593</x:v>
      </x:c>
      <x:c r="G2" s="16" t="s">
        <x:v>594</x:v>
      </x:c>
      <x:c r="H2" s="16" t="s">
        <x:v>271</x:v>
      </x:c>
      <x:c r="I2" s="16" t="s">
        <x:v>274</x:v>
      </x:c>
      <x:c r="J2" s="42" t="s">
        <x:v>278</x:v>
      </x:c>
      <x:c r="K2" s="42" t="s">
        <x:v>282</x:v>
      </x:c>
      <x:c r="L2" s="42" t="s">
        <x:v>285</x:v>
      </x:c>
      <x:c r="M2" s="42" t="s">
        <x:v>290</x:v>
      </x:c>
      <x:c r="N2" s="42" t="s">
        <x:v>294</x:v>
      </x:c>
      <x:c r="O2" s="42" t="s">
        <x:v>296</x:v>
      </x:c>
      <x:c r="P2" s="42" t="s">
        <x:v>301</x:v>
      </x:c>
      <x:c r="Q2" s="42" t="s">
        <x:v>305</x:v>
      </x:c>
      <x:c r="R2" s="42" t="s">
        <x:v>309</x:v>
      </x:c>
      <x:c r="S2" s="42" t="s">
        <x:v>312</x:v>
      </x:c>
      <x:c r="T2" s="42" t="s">
        <x:v>595</x:v>
      </x:c>
      <x:c r="U2" s="42" t="s">
        <x:v>596</x:v>
      </x:c>
      <x:c r="V2" s="42" t="s">
        <x:v>597</x:v>
      </x:c>
      <x:c r="W2" s="42" t="s">
        <x:v>598</x:v>
      </x:c>
      <x:c r="X2" s="42" t="s">
        <x:v>599</x:v>
      </x:c>
      <x:c r="Y2" s="42" t="s">
        <x:v>600</x:v>
      </x:c>
      <x:c r="Z2" s="42" t="s">
        <x:v>328</x:v>
      </x:c>
      <x:c r="AA2" s="42" t="s">
        <x:v>601</x:v>
      </x:c>
      <x:c r="AB2" s="42" t="s">
        <x:v>602</x:v>
      </x:c>
      <x:c r="AC2" s="42" t="s">
        <x:v>336</x:v>
      </x:c>
      <x:c r="AD2" s="42" t="s">
        <x:v>339</x:v>
      </x:c>
      <x:c r="AE2" s="42" t="s">
        <x:v>343</x:v>
      </x:c>
      <x:c r="AF2" s="42" t="s">
        <x:v>348</x:v>
      </x:c>
      <x:c r="AG2" s="42" t="s">
        <x:v>353</x:v>
      </x:c>
      <x:c r="AH2" s="43" t="s">
        <x:v>357</x:v>
      </x:c>
      <x:c r="AI2" s="43" t="s">
        <x:v>359</x:v>
      </x:c>
      <x:c r="AJ2" s="43" t="s">
        <x:v>362</x:v>
      </x:c>
      <x:c r="AK2" s="43" t="s">
        <x:v>365</x:v>
      </x:c>
      <x:c r="AL2" s="43" t="s">
        <x:v>368</x:v>
      </x:c>
      <x:c r="AM2" s="43" t="s">
        <x:v>603</x:v>
      </x:c>
      <x:c r="AN2" s="43" t="s">
        <x:v>604</x:v>
      </x:c>
      <x:c r="AO2" s="43" t="s">
        <x:v>375</x:v>
      </x:c>
      <x:c r="AP2" s="43" t="s">
        <x:v>378</x:v>
      </x:c>
      <x:c r="AQ2" s="43" t="s">
        <x:v>382</x:v>
      </x:c>
      <x:c r="AR2" s="43" t="s">
        <x:v>385</x:v>
      </x:c>
      <x:c r="AS2" s="43" t="s">
        <x:v>388</x:v>
      </x:c>
      <x:c r="AT2" s="43" t="s">
        <x:v>391</x:v>
      </x:c>
      <x:c r="AU2" s="43" t="s">
        <x:v>395</x:v>
      </x:c>
      <x:c r="AV2" s="16" t="s">
        <x:v>401</x:v>
      </x:c>
      <x:c r="AW2" s="16" t="s">
        <x:v>406</x:v>
      </x:c>
      <x:c r="AX2" s="16" t="s">
        <x:v>411</x:v>
      </x:c>
      <x:c r="AY2" s="16" t="s">
        <x:v>416</x:v>
      </x:c>
      <x:c r="AZ2" s="16" t="s">
        <x:v>420</x:v>
      </x:c>
      <x:c r="BA2" s="16" t="s">
        <x:v>424</x:v>
      </x:c>
    </x:row>
    <x:row r="3" ht="162" hidden="0" customHeight="1">
      <x:c r="A3" s="132" t="s">
        <x:v>260</x:v>
      </x:c>
      <x:c r="B3" s="132" t="s">
        <x:v>66</x:v>
      </x:c>
      <x:c r="C3" s="132" t="s">
        <x:v>71</x:v>
      </x:c>
      <x:c r="D3" s="132" t="str">
        <x:v>2018</x:v>
      </x:c>
      <x:c r="E3" s="132" t="str">
        <x:v>LX 2.0L / EX-T 1.5T (linked 2018 configurations only)</x:v>
      </x:c>
      <x:c r="F3" s="132" t="s">
        <x:v>605</x:v>
      </x:c>
      <x:c r="G3" s="132" t="str">
        <x:v>910001;910011</x:v>
      </x:c>
      <x:c r="H3" s="132" t="s">
        <x:v>606</x:v>
      </x:c>
      <x:c r="I3" s="132" t="s">
        <x:v>276</x:v>
      </x:c>
      <x:c r="J3" s="132" t="s">
        <x:v>607</x:v>
      </x:c>
      <x:c r="K3" s="132" t="s">
        <x:v>608</x:v>
      </x:c>
      <x:c r="L3" s="132" t="s">
        <x:v>609</x:v>
      </x:c>
      <x:c r="M3" s="132" t="str">
        <x:v>51R [OEM] for the named service product (S31); vehicle fitment remains disputed. S3 lists H5 for the linked 2018 2.0L configuration.</x:v>
      </x:c>
      <x:c r="N3" s="132" t="n">
        <x:v>12</x:v>
      </x:c>
      <x:c r="O3" s="132" t="str">
        <x:v>~38–45 Ah [aftermarket-typical]; retained generic estimate, not Honda-published or a cited BCI requirement</x:v>
      </x:c>
      <x:c r="P3" s="132" t="str">
        <x:v>OEM ~400 CCA [OEM] (S31 dealer product listing for 31500-SR1-100M); aftermarket 51R ~410–450 CCA [aftermarket] (S1 service guidance). Product rating does not establish original installed fitment.</x:v>
      </x:c>
      <x:c r="Q3" s="132" t="str">
        <x:v>~500 CA [inferred from OEM part naming] (51R/500Amp85); published CA Not publicly verified. Aftermarket ~500–600 CA [aftermarket-typical], legacy estimate.</x:v>
      </x:c>
      <x:c r="R3" s="132" t="str">
        <x:v>~85 min RC [inferred from OEM part naming] (51R/500Amp85); published RC Not publicly verified. Aftermarket ~70–100 min [aftermarket-typical], legacy estimate.</x:v>
      </x:c>
      <x:c r="S3" s="132" t="str">
        <x:v>~0.46–0.54 kWh [calculated] = 12 V x ~38–45 Ah [aftermarket-typical]; approximation, not measured or OEM-rated energy</x:v>
      </x:c>
      <x:c r="T3" s="132" t="s">
        <x:v>610</x:v>
      </x:c>
      <x:c r="U3" s="135" t="s">
        <x:v>342</x:v>
      </x:c>
      <x:c r="V3" s="135" t="s">
        <x:v>201</x:v>
      </x:c>
      <x:c r="W3" s="135" t="str">
        <x:v>Not publicly verified</x:v>
      </x:c>
      <x:c r="X3" s="135" t="str">
        <x:v>Not publicly verified</x:v>
      </x:c>
      <x:c r="Y3" s="135" t="str">
        <x:v>Not publicly verified</x:v>
      </x:c>
      <x:c r="Z3" s="135" t="s">
        <x:v>201</x:v>
      </x:c>
      <x:c r="AA3" s="132" t="s">
        <x:v>611</x:v>
      </x:c>
      <x:c r="AB3" s="135" t="s">
        <x:v>201</x:v>
      </x:c>
      <x:c r="AC3" s="135" t="s">
        <x:v>201</x:v>
      </x:c>
      <x:c r="AD3" s="135" t="str">
        <x:v>Not publicly verified</x:v>
      </x:c>
      <x:c r="AE3" s="132" t="str">
        <x:v>~238 x 129 x 223 mm (9.4 x 5.1 x 8.8 in) [aftermarket-typical]; Group 51R reference envelope; confirm the actual product</x:v>
      </x:c>
      <x:c r="AF3" s="132" t="str">
        <x:v>~11–14.5 kg (25–32 lb), flooded/AGM [aftermarket-typical]; retained generic range, not an OEM or BCI-standard mass</x:v>
      </x:c>
      <x:c r="AG3" s="132" t="s">
        <x:v>612</x:v>
      </x:c>
      <x:c r="AH3" s="135" t="s">
        <x:v>613</x:v>
      </x:c>
      <x:c r="AI3" s="135" t="s">
        <x:v>440</x:v>
      </x:c>
      <x:c r="AJ3" s="135" t="s">
        <x:v>440</x:v>
      </x:c>
      <x:c r="AK3" s="135" t="s">
        <x:v>440</x:v>
      </x:c>
      <x:c r="AL3" s="135" t="s">
        <x:v>440</x:v>
      </x:c>
      <x:c r="AM3" s="135" t="s">
        <x:v>440</x:v>
      </x:c>
      <x:c r="AN3" s="135" t="s">
        <x:v>440</x:v>
      </x:c>
      <x:c r="AO3" s="135" t="s">
        <x:v>440</x:v>
      </x:c>
      <x:c r="AP3" s="135" t="s">
        <x:v>440</x:v>
      </x:c>
      <x:c r="AQ3" s="135" t="s">
        <x:v>440</x:v>
      </x:c>
      <x:c r="AR3" s="135" t="s">
        <x:v>440</x:v>
      </x:c>
      <x:c r="AS3" s="135" t="s">
        <x:v>440</x:v>
      </x:c>
      <x:c r="AT3" s="135" t="s">
        <x:v>440</x:v>
      </x:c>
      <x:c r="AU3" s="135" t="s">
        <x:v>440</x:v>
      </x:c>
      <x:c r="AV3" s="135" t="str">
        <x:v>Not publicly verified</x:v>
      </x:c>
      <x:c r="AW3" s="132" t="str">
        <x:v>31500-SR1-A02 supersedes to 31500-SR1-100M in the cited catalog. That supersession does not establish a common battery across all 2016–2021 standard trims. Confirm exact vehicle fitment and terminal layout; do not assume a non-R Group 51 is interchangeable.</x:v>
      </x:c>
      <x:c r="AX3" s="132" t="str">
        <x:v>https://www.hondapartsnow.com/genuine/honda~battery~31500-sr1-a02.html
https://www.hondaautomotiveparts.com/oem-parts/honda-vehicle-battery-local-pick-up-only-31500sr1100m
https://www.batteryequivalents.com/group-51-and-51r-batteries-dimensions-features-and-recommendations.html
https://www.redwaypower.com/bci-group-51-and-51r-batteries/
https://services.firestonecompleteautocare.com/honda/civic-2016-2021/
https://www.autopadre.com/battery-size/honda-civic
https://www.optimabatteries.com/experience/blog/what-size-battery-fits-my-honda-civic</x:v>
      </x:c>
      <x:c r="AY3" s="132" t="str">
        <x:v>S31 explicitly lists the service product 31500-SR1-100M as Group 51R, 400 CCA. This establishes product data, not the original installed battery or all-trim fitment. Q/R naming-derived estimates are [inferred from OEM part naming], not published OEM specifications. Approximate aftermarket values remain qualified. Vehicle Y3:Y4 had the stale OE/aftermarket classification and now agree with this row. Record scope narrowed from 2016-2021 to 2018, matching linked vehicle records. Source coverage may be broader; this is not a claim of fitment approval. Dimension, weight and generic Ah ranges are [aftermarket-typical]. No actual BCI standard document is on record. These ranges describe reference products/cases and do not establish vehicle-specific fit.
Evidence moved from operating_temperature_range during schema correction: Not publicly verified (OEM); general lead-acid ~ -20 to +50 C operating
Source: no supporting source recorded for this generic lead-acid temperature estimate. It is not a verified OEM or exact-product operating range.
Evidence moved from warranty during schema correction: Not publicly verified (Honda genuine battery warranty varies; aftermarket typically 2-4 yr free-replacement)
Source: no supporting source recorded for this generic aftermarket warranty estimate. Warranty depends on the actual product and seller; it does not establish a Honda genuine-battery warranty.</x:v>
      </x:c>
      <x:c r="AZ3" s="132" t="str">
        <x:v>Conflicting sources</x:v>
      </x:c>
      <x:c r="BA3" s="97" t="n">
        <x:v>46288</x:v>
      </x:c>
    </x:row>
    <x:row r="4" ht="75.5999984741211" hidden="0" customHeight="1">
      <x:c r="A4" s="132" t="s">
        <x:v>614</x:v>
      </x:c>
      <x:c r="B4" s="132" t="s">
        <x:v>66</x:v>
      </x:c>
      <x:c r="C4" s="132" t="s">
        <x:v>71</x:v>
      </x:c>
      <x:c r="D4" s="132" t="str">
        <x:v>2019</x:v>
      </x:c>
      <x:c r="E4" s="132" t="s">
        <x:v>448</x:v>
      </x:c>
      <x:c r="F4" s="132" t="s">
        <x:v>615</x:v>
      </x:c>
      <x:c r="G4" s="132" t="str">
        <x:v>910021</x:v>
      </x:c>
      <x:c r="H4" s="132" t="s">
        <x:v>606</x:v>
      </x:c>
      <x:c r="I4" s="132" t="s">
        <x:v>276</x:v>
      </x:c>
      <x:c r="J4" s="132" t="str">
        <x:v>Not publicly verified</x:v>
      </x:c>
      <x:c r="K4" s="132" t="str">
        <x:v>Not publicly verified</x:v>
      </x:c>
      <x:c r="L4" s="132" t="str">
        <x:v>Not publicly verified</x:v>
      </x:c>
      <x:c r="M4" s="132" t="str">
        <x:v>51R likely - sources conflict (some claim Si needs a larger, higher-CCA case) [unverified]</x:v>
      </x:c>
      <x:c r="N4" s="132" t="n">
        <x:v>12</x:v>
      </x:c>
      <x:c r="O4" s="135" t="str">
        <x:v>Not publicly verified</x:v>
      </x:c>
      <x:c r="P4" s="135" t="str">
        <x:v>Not publicly verified (Si-specific OE CCA not published)</x:v>
      </x:c>
      <x:c r="Q4" s="135" t="str">
        <x:v>Not publicly verified</x:v>
      </x:c>
      <x:c r="R4" s="135" t="str">
        <x:v>Not publicly verified</x:v>
      </x:c>
      <x:c r="S4" s="135" t="str">
        <x:v>Not publicly verified</x:v>
      </x:c>
      <x:c r="T4" s="135" t="str">
        <x:v>Not publicly verified</x:v>
      </x:c>
      <x:c r="U4" s="135" t="str">
        <x:v>Not publicly verified</x:v>
      </x:c>
      <x:c r="V4" s="135" t="str">
        <x:v>Not publicly verified</x:v>
      </x:c>
      <x:c r="W4" s="135" t="str">
        <x:v>Not publicly verified</x:v>
      </x:c>
      <x:c r="X4" s="135" t="str">
        <x:v>Not publicly verified</x:v>
      </x:c>
      <x:c r="Y4" s="135" t="str">
        <x:v>Not publicly verified</x:v>
      </x:c>
      <x:c r="Z4" s="135" t="str">
        <x:v>Not publicly verified</x:v>
      </x:c>
      <x:c r="AA4" s="132" t="str">
        <x:v>Not publicly verified</x:v>
      </x:c>
      <x:c r="AB4" s="135" t="str">
        <x:v>Not publicly verified</x:v>
      </x:c>
      <x:c r="AC4" s="135" t="str">
        <x:v>Not publicly verified</x:v>
      </x:c>
      <x:c r="AD4" s="135" t="str">
        <x:v>Not publicly verified</x:v>
      </x:c>
      <x:c r="AE4" s="132" t="str">
        <x:v>Not publicly verified</x:v>
      </x:c>
      <x:c r="AF4" s="132" t="str">
        <x:v>Not publicly verified</x:v>
      </x:c>
      <x:c r="AG4" s="132" t="str">
        <x:v>Not publicly verified</x:v>
      </x:c>
      <x:c r="AH4" s="135" t="s">
        <x:v>613</x:v>
      </x:c>
      <x:c r="AI4" s="135" t="s">
        <x:v>440</x:v>
      </x:c>
      <x:c r="AJ4" s="135" t="s">
        <x:v>440</x:v>
      </x:c>
      <x:c r="AK4" s="135" t="s">
        <x:v>440</x:v>
      </x:c>
      <x:c r="AL4" s="135" t="s">
        <x:v>440</x:v>
      </x:c>
      <x:c r="AM4" s="135" t="s">
        <x:v>440</x:v>
      </x:c>
      <x:c r="AN4" s="135" t="s">
        <x:v>440</x:v>
      </x:c>
      <x:c r="AO4" s="135" t="s">
        <x:v>440</x:v>
      </x:c>
      <x:c r="AP4" s="135" t="s">
        <x:v>440</x:v>
      </x:c>
      <x:c r="AQ4" s="135" t="s">
        <x:v>440</x:v>
      </x:c>
      <x:c r="AR4" s="135" t="s">
        <x:v>440</x:v>
      </x:c>
      <x:c r="AS4" s="135" t="s">
        <x:v>440</x:v>
      </x:c>
      <x:c r="AT4" s="135" t="s">
        <x:v>440</x:v>
      </x:c>
      <x:c r="AU4" s="135" t="s">
        <x:v>440</x:v>
      </x:c>
      <x:c r="AV4" s="135" t="s">
        <x:v>201</x:v>
      </x:c>
      <x:c r="AW4" s="132" t="str">
        <x:v>No standard-trim inheritance. Exact vehicle label, terminals, case and retention must be checked.</x:v>
      </x:c>
      <x:c r="AX4" s="132" t="str">
        <x:v>https://services.firestonecompleteautocare.com/honda/civic-2016-2021/
https://revcivic.com/honda-civic-battery-group-size-guide-exact-sizes-by-year-trim/</x:v>
      </x:c>
      <x:c r="AY4" s="132" t="str">
        <x:v>Prior workbook evidence restored: Firestone (S1) gives the standard 51R claim; RevCivic (S5) describes larger Si/Type R cases. The Firestone standard-trim claim does not establish Si fitment. Exact 2019 Si group and CCA remain unresolved. Historical source attributions are retained from the original workbook, not freshly reverified. Confirm exact VIN/installed label before accepting fitment. Previous note: Standard sources point to 51R, but at least one guide claims Si/Type R use a larger case. Conflicting - not resolved. S5 has internal scope tension: its 2016–2021 table includes Si/Type R under 51R while its general performance prose calls for H6. Preserve this distinction; neither establishes an independently verified 2019 Si fitment.</x:v>
      </x:c>
      <x:c r="AZ4" s="132" t="str">
        <x:v>Conflicting sources</x:v>
      </x:c>
      <x:c r="BA4" s="96" t="n">
        <x:v>46288</x:v>
      </x:c>
    </x:row>
    <x:row r="5" ht="97.19999694824219" hidden="0" customHeight="1">
      <x:c r="A5" s="132" t="s">
        <x:v>616</x:v>
      </x:c>
      <x:c r="B5" s="132" t="s">
        <x:v>66</x:v>
      </x:c>
      <x:c r="C5" s="132" t="s">
        <x:v>71</x:v>
      </x:c>
      <x:c r="D5" s="132" t="str">
        <x:v>2019</x:v>
      </x:c>
      <x:c r="E5" s="132" t="s">
        <x:v>617</x:v>
      </x:c>
      <x:c r="F5" s="132" t="s">
        <x:v>618</x:v>
      </x:c>
      <x:c r="G5" s="132" t="str">
        <x:v>910022</x:v>
      </x:c>
      <x:c r="H5" s="132" t="s">
        <x:v>606</x:v>
      </x:c>
      <x:c r="I5" s="132" t="s">
        <x:v>276</x:v>
      </x:c>
      <x:c r="J5" s="132" t="str">
        <x:v>Not publicly verified</x:v>
      </x:c>
      <x:c r="K5" s="135" t="str">
        <x:v>31500-TGG-100M [OEM] S28 dealer catalog claim</x:v>
      </x:c>
      <x:c r="L5" s="132" t="str">
        <x:v>Not publicly verified</x:v>
      </x:c>
      <x:c r="M5" s="132" t="str">
        <x:v>47 (H5) or larger - sources conflict (H5/48 vs H6) [unverified]</x:v>
      </x:c>
      <x:c r="N5" s="132" t="n">
        <x:v>12</x:v>
      </x:c>
      <x:c r="O5" s="132" t="str">
        <x:v>Not publicly verified</x:v>
      </x:c>
      <x:c r="P5" s="132" t="str">
        <x:v>~600-700 CCA (Firestone, performance trim) [retailer/service source]</x:v>
      </x:c>
      <x:c r="Q5" s="135" t="str">
        <x:v>Not publicly verified</x:v>
      </x:c>
      <x:c r="R5" s="132" t="str">
        <x:v>Not publicly verified</x:v>
      </x:c>
      <x:c r="S5" s="135" t="str">
        <x:v>Not publicly verified</x:v>
      </x:c>
      <x:c r="T5" s="135" t="str">
        <x:v>Not publicly verified</x:v>
      </x:c>
      <x:c r="U5" s="135" t="str">
        <x:v>Not publicly verified</x:v>
      </x:c>
      <x:c r="V5" s="135" t="str">
        <x:v>Not publicly verified</x:v>
      </x:c>
      <x:c r="W5" s="135" t="str">
        <x:v>Not publicly verified</x:v>
      </x:c>
      <x:c r="X5" s="135" t="str">
        <x:v>Not publicly verified</x:v>
      </x:c>
      <x:c r="Y5" s="135" t="str">
        <x:v>Not publicly verified</x:v>
      </x:c>
      <x:c r="Z5" s="135" t="str">
        <x:v>Not publicly verified</x:v>
      </x:c>
      <x:c r="AA5" s="132" t="str">
        <x:v>Not publicly verified</x:v>
      </x:c>
      <x:c r="AB5" s="135" t="str">
        <x:v>Not publicly verified</x:v>
      </x:c>
      <x:c r="AC5" s="135" t="str">
        <x:v>Not publicly verified</x:v>
      </x:c>
      <x:c r="AD5" s="135" t="str">
        <x:v>Not publicly verified</x:v>
      </x:c>
      <x:c r="AE5" s="132" t="str">
        <x:v>Not publicly verified</x:v>
      </x:c>
      <x:c r="AF5" s="132" t="str">
        <x:v>Not publicly verified</x:v>
      </x:c>
      <x:c r="AG5" s="132" t="str">
        <x:v>Not publicly verified</x:v>
      </x:c>
      <x:c r="AH5" s="135" t="s">
        <x:v>613</x:v>
      </x:c>
      <x:c r="AI5" s="135" t="s">
        <x:v>440</x:v>
      </x:c>
      <x:c r="AJ5" s="135" t="s">
        <x:v>440</x:v>
      </x:c>
      <x:c r="AK5" s="135" t="s">
        <x:v>440</x:v>
      </x:c>
      <x:c r="AL5" s="135" t="s">
        <x:v>440</x:v>
      </x:c>
      <x:c r="AM5" s="135" t="s">
        <x:v>440</x:v>
      </x:c>
      <x:c r="AN5" s="135" t="s">
        <x:v>440</x:v>
      </x:c>
      <x:c r="AO5" s="135" t="s">
        <x:v>440</x:v>
      </x:c>
      <x:c r="AP5" s="135" t="s">
        <x:v>440</x:v>
      </x:c>
      <x:c r="AQ5" s="135" t="s">
        <x:v>440</x:v>
      </x:c>
      <x:c r="AR5" s="135" t="s">
        <x:v>440</x:v>
      </x:c>
      <x:c r="AS5" s="135" t="s">
        <x:v>440</x:v>
      </x:c>
      <x:c r="AT5" s="135" t="s">
        <x:v>440</x:v>
      </x:c>
      <x:c r="AU5" s="135" t="s">
        <x:v>440</x:v>
      </x:c>
      <x:c r="AV5" s="135" t="s">
        <x:v>201</x:v>
      </x:c>
      <x:c r="AW5" s="132" t="str">
        <x:v>No standard-trim inheritance. Exact vehicle label, terminals, case and retention must be checked.</x:v>
      </x:c>
      <x:c r="AX5" s="132" t="str">
        <x:v>https://services.firestonecompleteautocare.com/honda/civic-2016-2021/
https://hondatheotherside.com/honda-civic-battery-size/
https://revcivic.com/honda-civic-battery-group-size-guide-exact-sizes-by-year-trim/
https://www.hondaautomotiveparts.com/v-2019-honda-civic--type-r--2-0l-l4-gas/electrical--battery</x:v>
      </x:c>
      <x:c r="AY5" s="132" t="str">
        <x:v>Prior workbook evidence restored: Firestone (S1) was attributed H5/48 and approximately 600–700 CCA for Type R; HondaTheOtherSide (S4) was attributed H5 (47); RevCivic (S5) was attributed H5/H6 performance cases. Preserve the ambiguous H5/48 wording as a source claim, not an equivalence. S28 dealer candidate also has a generic 1.5L description conflict. Historical source attributions are retained from the original workbook, not freshly reverified. Confirm exact VIN/installed label before accepting fitment. Previous note: 2019 Type R listing only. Generic description contains 1.5L text. No ratings inferred; prior conflicting size/CCA claims retained in source audit. Current S4 page associates its Type R H5 table entry with 2020–2021, not the 2019–2020 range recorded historically. S5 itself mixes a 10th-generation 51R table with broader H6 performance prose. These limitations do not resolve 2019 Type R fitment.</x:v>
      </x:c>
      <x:c r="AZ5" s="132" t="str">
        <x:v>Conflicting sources</x:v>
      </x:c>
      <x:c r="BA5" s="96" t="n">
        <x:v>46288</x:v>
      </x:c>
    </x:row>
    <x:row r="6" ht="140.39999389648438" hidden="0" customHeight="1">
      <x:c r="A6" s="132" t="s">
        <x:v>619</x:v>
      </x:c>
      <x:c r="B6" s="132" t="s">
        <x:v>66</x:v>
      </x:c>
      <x:c r="C6" s="132" t="s">
        <x:v>71</x:v>
      </x:c>
      <x:c r="D6" s="132" t="str">
        <x:v>2023</x:v>
      </x:c>
      <x:c r="E6" s="132" t="str">
        <x:v>LX / Sport 2.0L; EX / Sport Touring 1.5T (linked 2023 configurations only)</x:v>
      </x:c>
      <x:c r="F6" s="132" t="s">
        <x:v>605</x:v>
      </x:c>
      <x:c r="G6" s="132" t="str">
        <x:v>910023;910024</x:v>
      </x:c>
      <x:c r="H6" s="132" t="s">
        <x:v>606</x:v>
      </x:c>
      <x:c r="I6" s="132" t="s">
        <x:v>276</x:v>
      </x:c>
      <x:c r="J6" s="132" t="str">
        <x:v>EFB [OEM] for dealer-listed 31500-TLA-EFB100M. AGM only if the applicable VIN-specific OEM specification requires it; that requirement is Not publicly verified for these linked configurations.</x:v>
      </x:c>
      <x:c r="K6" s="132" t="s">
        <x:v>620</x:v>
      </x:c>
      <x:c r="L6" s="132" t="s">
        <x:v>621</x:v>
      </x:c>
      <x:c r="M6" s="132" t="s">
        <x:v>622</x:v>
      </x:c>
      <x:c r="N6" s="132" t="n">
        <x:v>12</x:v>
      </x:c>
      <x:c r="O6" s="132" t="str">
        <x:v>~55–60 Ah [aftermarket-typical]; retained generic estimate, not Honda-published or a cited BCI requirement</x:v>
      </x:c>
      <x:c r="P6" s="132" t="s">
        <x:v>623</x:v>
      </x:c>
      <x:c r="Q6" s="132" t="s">
        <x:v>624</x:v>
      </x:c>
      <x:c r="R6" s="132" t="s">
        <x:v>625</x:v>
      </x:c>
      <x:c r="S6" s="132" t="str">
        <x:v>~0.66–0.72 kWh [calculated] = 12 V x ~55–60 Ah [aftermarket-typical]; approximation, not measured or OEM-rated energy</x:v>
      </x:c>
      <x:c r="T6" s="132" t="s">
        <x:v>626</x:v>
      </x:c>
      <x:c r="U6" s="135" t="s">
        <x:v>342</x:v>
      </x:c>
      <x:c r="V6" s="135" t="s">
        <x:v>201</x:v>
      </x:c>
      <x:c r="W6" s="135" t="str">
        <x:v>Not publicly verified</x:v>
      </x:c>
      <x:c r="X6" s="135" t="str">
        <x:v>Not publicly verified</x:v>
      </x:c>
      <x:c r="Y6" s="135" t="str">
        <x:v>Not publicly verified</x:v>
      </x:c>
      <x:c r="Z6" s="135" t="s">
        <x:v>201</x:v>
      </x:c>
      <x:c r="AA6" s="132" t="s">
        <x:v>611</x:v>
      </x:c>
      <x:c r="AB6" s="135" t="s">
        <x:v>201</x:v>
      </x:c>
      <x:c r="AC6" s="135" t="s">
        <x:v>201</x:v>
      </x:c>
      <x:c r="AD6" s="135" t="str">
        <x:v>Not publicly verified</x:v>
      </x:c>
      <x:c r="AE6" s="132" t="str">
        <x:v>~242 x 175 x 190 mm (9.56 x 6.875 x 7.5 in) [aftermarket-typical]; Group 47/H5 reference envelope; confirm the actual product</x:v>
      </x:c>
      <x:c r="AF6" s="132" t="str">
        <x:v>~17–20 kg (38–44 lb), EFB/AGM [aftermarket-typical]; retained generic range, not an OEM or BCI-standard mass</x:v>
      </x:c>
      <x:c r="AG6" s="132" t="s">
        <x:v>627</x:v>
      </x:c>
      <x:c r="AH6" s="135" t="s">
        <x:v>613</x:v>
      </x:c>
      <x:c r="AI6" s="135" t="s">
        <x:v>440</x:v>
      </x:c>
      <x:c r="AJ6" s="135" t="s">
        <x:v>440</x:v>
      </x:c>
      <x:c r="AK6" s="135" t="s">
        <x:v>440</x:v>
      </x:c>
      <x:c r="AL6" s="135" t="s">
        <x:v>440</x:v>
      </x:c>
      <x:c r="AM6" s="135" t="s">
        <x:v>440</x:v>
      </x:c>
      <x:c r="AN6" s="135" t="s">
        <x:v>440</x:v>
      </x:c>
      <x:c r="AO6" s="135" t="s">
        <x:v>440</x:v>
      </x:c>
      <x:c r="AP6" s="135" t="s">
        <x:v>440</x:v>
      </x:c>
      <x:c r="AQ6" s="135" t="s">
        <x:v>440</x:v>
      </x:c>
      <x:c r="AR6" s="135" t="s">
        <x:v>440</x:v>
      </x:c>
      <x:c r="AS6" s="135" t="s">
        <x:v>440</x:v>
      </x:c>
      <x:c r="AT6" s="135" t="s">
        <x:v>440</x:v>
      </x:c>
      <x:c r="AU6" s="135" t="s">
        <x:v>440</x:v>
      </x:c>
      <x:c r="AV6" s="135" t="s">
        <x:v>201</x:v>
      </x:c>
      <x:c r="AW6" s="132" t="str">
        <x:v>H5/Group 47 versus 51R remains a source conflict; confirm the installed label and exact vehicle specification. AGM only if the applicable VIN-specific OEM specification requires it; that requirement is Not publicly verified for these linked configurations. Auto idle-stop by itself is not recorded here as proof of an AGM requirement.</x:v>
      </x:c>
      <x:c r="AX6" s="132" t="str">
        <x:v>https://www.hondapartsnow.com/genuine/honda~battery~h5efb~31500-tla-efb100m.html
https://www.autozone.com/batteries-starting-and-charging/battery/honda/civic/2022
https://www.batteryequivalents.com/group-47-h5-l2-55l2-batteries.html
https://shop.advanceautoparts.com/find/2023-honda-civic-batteries
https://www.optimabatteries.com/experience/blog/what-size-battery-fits-my-honda-civic
https://revcivic.com/honda-civic-battery-group-size-guide-exact-sizes-by-year-trim/</x:v>
      </x:c>
      <x:c r="AY6" s="132" t="str">
        <x:v>OE PN + H5 group verified (Honda catalog + AutoZone fitment). OE CCA ~450 is owner-reported off the sibling PN's label; aftermarket H5 EFB/AGM are rated 650/680 - kept separate. Group vs 51R remains a logged conflict. Previous status detail: Conflicting group (H5 vs 51R); OE PN verified; CCA OEM vs aftermarket separated. Locator gap retained: the legacy owner-reported ~450 CCA claim for sibling 31500-TLA-A11 cites CRVOwnersClub, but no exact thread URL is on record. The homepage has been removed from source_links; this claim is not freshly verified. Record scope narrowed from 2022-2026 to 2023, matching linked vehicle records. Source coverage may be broader; this is not a claim of fitment approval. Dimension, weight and generic Ah ranges are [aftermarket-typical]. No actual BCI standard document is on record. These ranges describe reference products/cases and do not establish vehicle-specific fit.
Evidence moved from operating_temperature_range during schema correction: Not publicly verified (OEM); general lead-acid ~ -20 to +50 C operating
Source: no supporting source recorded for this generic lead-acid temperature estimate. It is not a verified OEM or exact-product operating range.</x:v>
      </x:c>
      <x:c r="AZ6" s="132" t="str">
        <x:v>Conflicting sources</x:v>
      </x:c>
      <x:c r="BA6" s="97" t="s">
        <x:v>628</x:v>
      </x:c>
    </x:row>
    <x:row r="7" ht="64.80000305175781" hidden="0" customHeight="1">
      <x:c r="A7" s="132" t="s">
        <x:v>629</x:v>
      </x:c>
      <x:c r="B7" s="132" t="s">
        <x:v>66</x:v>
      </x:c>
      <x:c r="C7" s="132" t="s">
        <x:v>71</x:v>
      </x:c>
      <x:c r="D7" s="132" t="str">
        <x:v>2023</x:v>
      </x:c>
      <x:c r="E7" s="132" t="s">
        <x:v>630</x:v>
      </x:c>
      <x:c r="F7" s="132" t="s">
        <x:v>631</x:v>
      </x:c>
      <x:c r="G7" s="132" t="str">
        <x:v>910025</x:v>
      </x:c>
      <x:c r="H7" s="132" t="s">
        <x:v>606</x:v>
      </x:c>
      <x:c r="I7" s="132" t="s">
        <x:v>276</x:v>
      </x:c>
      <x:c r="J7" s="132" t="str">
        <x:v>Not publicly verified</x:v>
      </x:c>
      <x:c r="K7" s="132" t="str">
        <x:v>31500-TLA-EFB100M [OEM] S27 dealer catalog claim</x:v>
      </x:c>
      <x:c r="L7" s="132" t="str">
        <x:v>Not publicly verified</x:v>
      </x:c>
      <x:c r="M7" s="132" t="str">
        <x:v>H5 (47) claimed by Optima S6 for all 2022+ Civics; RevCivic S5 discusses H5/H6 and performance exceptions. Exact Si fitment unresolved.</x:v>
      </x:c>
      <x:c r="N7" s="132" t="n">
        <x:v>12</x:v>
      </x:c>
      <x:c r="O7" s="132" t="str">
        <x:v>Not publicly verified</x:v>
      </x:c>
      <x:c r="P7" s="135" t="str">
        <x:v>Not publicly verified (Si-specific OE CCA not published)</x:v>
      </x:c>
      <x:c r="Q7" s="135" t="str">
        <x:v>Not publicly verified</x:v>
      </x:c>
      <x:c r="R7" s="132" t="str">
        <x:v>Not publicly verified</x:v>
      </x:c>
      <x:c r="S7" s="135" t="str">
        <x:v>Not publicly verified</x:v>
      </x:c>
      <x:c r="T7" s="132" t="str">
        <x:v>Not publicly verified</x:v>
      </x:c>
      <x:c r="U7" s="135" t="str">
        <x:v>Not publicly verified</x:v>
      </x:c>
      <x:c r="V7" s="135" t="str">
        <x:v>Not publicly verified</x:v>
      </x:c>
      <x:c r="W7" s="135" t="str">
        <x:v>Not publicly verified</x:v>
      </x:c>
      <x:c r="X7" s="135" t="str">
        <x:v>Not publicly verified</x:v>
      </x:c>
      <x:c r="Y7" s="135" t="str">
        <x:v>Not publicly verified</x:v>
      </x:c>
      <x:c r="Z7" s="135" t="str">
        <x:v>Not publicly verified</x:v>
      </x:c>
      <x:c r="AA7" s="132" t="str">
        <x:v>Not publicly verified</x:v>
      </x:c>
      <x:c r="AB7" s="135" t="str">
        <x:v>Not publicly verified</x:v>
      </x:c>
      <x:c r="AC7" s="135" t="str">
        <x:v>Not publicly verified</x:v>
      </x:c>
      <x:c r="AD7" s="135" t="str">
        <x:v>Not publicly verified</x:v>
      </x:c>
      <x:c r="AE7" s="132" t="str">
        <x:v>Not publicly verified</x:v>
      </x:c>
      <x:c r="AF7" s="132" t="str">
        <x:v>Not publicly verified</x:v>
      </x:c>
      <x:c r="AG7" s="132" t="str">
        <x:v>Not publicly verified</x:v>
      </x:c>
      <x:c r="AH7" s="135" t="s">
        <x:v>613</x:v>
      </x:c>
      <x:c r="AI7" s="135" t="s">
        <x:v>440</x:v>
      </x:c>
      <x:c r="AJ7" s="135" t="s">
        <x:v>440</x:v>
      </x:c>
      <x:c r="AK7" s="135" t="s">
        <x:v>440</x:v>
      </x:c>
      <x:c r="AL7" s="135" t="s">
        <x:v>440</x:v>
      </x:c>
      <x:c r="AM7" s="135" t="s">
        <x:v>440</x:v>
      </x:c>
      <x:c r="AN7" s="135" t="s">
        <x:v>440</x:v>
      </x:c>
      <x:c r="AO7" s="135" t="s">
        <x:v>440</x:v>
      </x:c>
      <x:c r="AP7" s="135" t="s">
        <x:v>440</x:v>
      </x:c>
      <x:c r="AQ7" s="135" t="s">
        <x:v>440</x:v>
      </x:c>
      <x:c r="AR7" s="135" t="s">
        <x:v>440</x:v>
      </x:c>
      <x:c r="AS7" s="135" t="s">
        <x:v>440</x:v>
      </x:c>
      <x:c r="AT7" s="135" t="s">
        <x:v>440</x:v>
      </x:c>
      <x:c r="AU7" s="135" t="s">
        <x:v>440</x:v>
      </x:c>
      <x:c r="AV7" s="135" t="s">
        <x:v>201</x:v>
      </x:c>
      <x:c r="AW7" s="132" t="str">
        <x:v>No standard-trim inheritance. Exact vehicle label, terminals, case and retention must be checked.</x:v>
      </x:c>
      <x:c r="AX7" s="132" t="str">
        <x:v>https://www.optimabatteries.com/experience/blog/what-size-battery-fits-my-honda-civic
https://revcivic.com/honda-civic-battery-group-size-guide-exact-sizes-by-year-trim/
https://www.hondaautomotiveparts.com/v-2023-honda-civic--si--1-5l-l4-gas/electrical--battery</x:v>
      </x:c>
      <x:c r="AY7" s="132" t="str">
        <x:v>Prior workbook H5 finding restored: Optima (S6) broadly claims all Civics use H5 from 2022. RevCivic (S5) describes H5/H6 and larger performance cases. These are broad, differently scoped claims, not two verified 2023 Si applications. S27 dealer lists 31500-TLA-EFB100M without group/CCA specifications. Historical source attributions are retained from the original workbook, not freshly reverified. Confirm exact VIN/installed label before accepting fitment. Previous note: 2023 Si listing only. No battery group, chemistry or performance ratings inferred from part-number text.</x:v>
      </x:c>
      <x:c r="AZ7" s="132" t="str">
        <x:v>Conflicting sources</x:v>
      </x:c>
      <x:c r="BA7" s="97" t="n">
        <x:v>46288</x:v>
      </x:c>
    </x:row>
    <x:row r="8" ht="54" hidden="0" customHeight="1">
      <x:c r="A8" s="132" t="s">
        <x:v>632</x:v>
      </x:c>
      <x:c r="B8" s="132" t="s">
        <x:v>66</x:v>
      </x:c>
      <x:c r="C8" s="132" t="s">
        <x:v>71</x:v>
      </x:c>
      <x:c r="D8" s="132" t="str">
        <x:v>2024</x:v>
      </x:c>
      <x:c r="E8" s="132" t="s">
        <x:v>633</x:v>
      </x:c>
      <x:c r="F8" s="132" t="s">
        <x:v>618</x:v>
      </x:c>
      <x:c r="G8" s="132" t="str">
        <x:v>910026</x:v>
      </x:c>
      <x:c r="H8" s="132" t="s">
        <x:v>606</x:v>
      </x:c>
      <x:c r="I8" s="132" t="s">
        <x:v>276</x:v>
      </x:c>
      <x:c r="J8" s="132" t="str">
        <x:v>Not publicly verified</x:v>
      </x:c>
      <x:c r="K8" s="135" t="str">
        <x:v>Not publicly verified</x:v>
      </x:c>
      <x:c r="L8" s="132" t="str">
        <x:v>Not publicly verified</x:v>
      </x:c>
      <x:c r="M8" s="132" t="str">
        <x:v>H5/H6 (higher CCA) - not consistently published [unverified]</x:v>
      </x:c>
      <x:c r="N8" s="132" t="n">
        <x:v>12</x:v>
      </x:c>
      <x:c r="O8" s="135" t="str">
        <x:v>Not publicly verified</x:v>
      </x:c>
      <x:c r="P8" s="135" t="str">
        <x:v>Not publicly verified</x:v>
      </x:c>
      <x:c r="Q8" s="135" t="str">
        <x:v>Not publicly verified</x:v>
      </x:c>
      <x:c r="R8" s="135" t="str">
        <x:v>Not publicly verified</x:v>
      </x:c>
      <x:c r="S8" s="135" t="str">
        <x:v>Not publicly verified</x:v>
      </x:c>
      <x:c r="T8" s="135" t="str">
        <x:v>Not publicly verified</x:v>
      </x:c>
      <x:c r="U8" s="135" t="str">
        <x:v>Not publicly verified</x:v>
      </x:c>
      <x:c r="V8" s="135" t="str">
        <x:v>Not publicly verified</x:v>
      </x:c>
      <x:c r="W8" s="135" t="str">
        <x:v>Not publicly verified</x:v>
      </x:c>
      <x:c r="X8" s="135" t="str">
        <x:v>Not publicly verified</x:v>
      </x:c>
      <x:c r="Y8" s="135" t="str">
        <x:v>Not publicly verified</x:v>
      </x:c>
      <x:c r="Z8" s="135" t="str">
        <x:v>Not publicly verified</x:v>
      </x:c>
      <x:c r="AA8" s="132" t="str">
        <x:v>Not publicly verified</x:v>
      </x:c>
      <x:c r="AB8" s="135" t="str">
        <x:v>Not publicly verified</x:v>
      </x:c>
      <x:c r="AC8" s="135" t="str">
        <x:v>Not publicly verified</x:v>
      </x:c>
      <x:c r="AD8" s="135" t="str">
        <x:v>Not publicly verified</x:v>
      </x:c>
      <x:c r="AE8" s="135" t="str">
        <x:v>Not publicly verified</x:v>
      </x:c>
      <x:c r="AF8" s="135" t="str">
        <x:v>Not publicly verified</x:v>
      </x:c>
      <x:c r="AG8" s="132" t="str">
        <x:v>Not publicly verified</x:v>
      </x:c>
      <x:c r="AH8" s="135" t="s">
        <x:v>613</x:v>
      </x:c>
      <x:c r="AI8" s="135" t="s">
        <x:v>440</x:v>
      </x:c>
      <x:c r="AJ8" s="135" t="s">
        <x:v>440</x:v>
      </x:c>
      <x:c r="AK8" s="135" t="s">
        <x:v>440</x:v>
      </x:c>
      <x:c r="AL8" s="135" t="s">
        <x:v>440</x:v>
      </x:c>
      <x:c r="AM8" s="135" t="s">
        <x:v>440</x:v>
      </x:c>
      <x:c r="AN8" s="135" t="s">
        <x:v>440</x:v>
      </x:c>
      <x:c r="AO8" s="135" t="s">
        <x:v>440</x:v>
      </x:c>
      <x:c r="AP8" s="135" t="s">
        <x:v>440</x:v>
      </x:c>
      <x:c r="AQ8" s="135" t="s">
        <x:v>440</x:v>
      </x:c>
      <x:c r="AR8" s="135" t="s">
        <x:v>440</x:v>
      </x:c>
      <x:c r="AS8" s="135" t="s">
        <x:v>440</x:v>
      </x:c>
      <x:c r="AT8" s="135" t="s">
        <x:v>440</x:v>
      </x:c>
      <x:c r="AU8" s="135" t="s">
        <x:v>440</x:v>
      </x:c>
      <x:c r="AV8" s="135" t="s">
        <x:v>201</x:v>
      </x:c>
      <x:c r="AW8" s="132" t="str">
        <x:v>No standard-trim inheritance. Exact vehicle label, terminals, case and retention must be checked.</x:v>
      </x:c>
      <x:c r="AX8" s="132" t="str">
        <x:v>https://revcivic.com/honda-civic-battery-group-size-guide-exact-sizes-by-year-trim/
https://www.optimabatteries.com/experience/blog/what-size-battery-fits-my-honda-civic</x:v>
      </x:c>
      <x:c r="AY8" s="132" t="str">
        <x:v>Prior workbook H5/H6 higher-CCA claim from RevCivic (S5) restored. Optima (S6) broadly claims H5 for all 2022+ Civics. Broad-source tension remains; neither establishes exact 2024 FL5 group or CCA. No standard-trim inheritance. Historical source attributions are retained from the original workbook, not freshly reverified. Confirm exact VIN/installed label before accepting fitment. Previous note: Insufficient public sourcing for FL5-specific battery. Left largely unverified rather than guessed.</x:v>
      </x:c>
      <x:c r="AZ8" s="135" t="str">
        <x:v>Conflicting sources</x:v>
      </x:c>
      <x:c r="BA8" s="140" t="n">
        <x:v>46288</x:v>
      </x:c>
    </x:row>
    <x:row r="9" ht="86.4000015258789" hidden="0" customHeight="1">
      <x:c r="A9" s="132" t="s">
        <x:v>634</x:v>
      </x:c>
      <x:c r="B9" s="132" t="s">
        <x:v>66</x:v>
      </x:c>
      <x:c r="C9" s="132" t="s">
        <x:v>71</x:v>
      </x:c>
      <x:c r="D9" s="132" t="str">
        <x:v>2025</x:v>
      </x:c>
      <x:c r="E9" s="132" t="s">
        <x:v>635</x:v>
      </x:c>
      <x:c r="F9" s="132" t="s">
        <x:v>636</x:v>
      </x:c>
      <x:c r="G9" s="132" t="str">
        <x:v>910027</x:v>
      </x:c>
      <x:c r="H9" s="132" t="s">
        <x:v>637</x:v>
      </x:c>
      <x:c r="I9" s="137" t="s">
        <x:v>638</x:v>
      </x:c>
      <x:c r="J9" s="137" t="s">
        <x:v>639</x:v>
      </x:c>
      <x:c r="K9" s="135" t="s">
        <x:v>640</x:v>
      </x:c>
      <x:c r="L9" s="132" t="s">
        <x:v>641</x:v>
      </x:c>
      <x:c r="M9" s="135" t="s">
        <x:v>642</x:v>
      </x:c>
      <x:c r="N9" s="137" t="n">
        <x:v>12</x:v>
      </x:c>
      <x:c r="O9" s="137" t="s">
        <x:v>643</x:v>
      </x:c>
      <x:c r="P9" s="135" t="s">
        <x:v>201</x:v>
      </x:c>
      <x:c r="Q9" s="135" t="s">
        <x:v>201</x:v>
      </x:c>
      <x:c r="R9" s="135" t="s">
        <x:v>201</x:v>
      </x:c>
      <x:c r="S9" s="137" t="s">
        <x:v>644</x:v>
      </x:c>
      <x:c r="T9" s="132" t="s">
        <x:v>645</x:v>
      </x:c>
      <x:c r="U9" s="135" t="s">
        <x:v>201</x:v>
      </x:c>
      <x:c r="V9" s="135" t="s">
        <x:v>201</x:v>
      </x:c>
      <x:c r="W9" s="135" t="str">
        <x:v>Not publicly verified</x:v>
      </x:c>
      <x:c r="X9" s="135" t="str">
        <x:v>Not publicly verified</x:v>
      </x:c>
      <x:c r="Y9" s="135" t="str">
        <x:v>Not publicly verified</x:v>
      </x:c>
      <x:c r="Z9" s="135" t="s">
        <x:v>201</x:v>
      </x:c>
      <x:c r="AA9" s="132" t="s">
        <x:v>611</x:v>
      </x:c>
      <x:c r="AB9" s="135" t="s">
        <x:v>201</x:v>
      </x:c>
      <x:c r="AC9" s="135" t="s">
        <x:v>201</x:v>
      </x:c>
      <x:c r="AD9" s="135" t="s">
        <x:v>201</x:v>
      </x:c>
      <x:c r="AE9" s="135" t="s">
        <x:v>201</x:v>
      </x:c>
      <x:c r="AF9" s="135" t="s">
        <x:v>201</x:v>
      </x:c>
      <x:c r="AG9" s="132" t="s">
        <x:v>646</x:v>
      </x:c>
      <x:c r="AH9" s="135" t="s">
        <x:v>613</x:v>
      </x:c>
      <x:c r="AI9" s="135" t="s">
        <x:v>440</x:v>
      </x:c>
      <x:c r="AJ9" s="135" t="s">
        <x:v>440</x:v>
      </x:c>
      <x:c r="AK9" s="135" t="s">
        <x:v>440</x:v>
      </x:c>
      <x:c r="AL9" s="135" t="s">
        <x:v>440</x:v>
      </x:c>
      <x:c r="AM9" s="135" t="s">
        <x:v>440</x:v>
      </x:c>
      <x:c r="AN9" s="135" t="s">
        <x:v>440</x:v>
      </x:c>
      <x:c r="AO9" s="135" t="s">
        <x:v>440</x:v>
      </x:c>
      <x:c r="AP9" s="135" t="s">
        <x:v>440</x:v>
      </x:c>
      <x:c r="AQ9" s="135" t="s">
        <x:v>440</x:v>
      </x:c>
      <x:c r="AR9" s="135" t="s">
        <x:v>440</x:v>
      </x:c>
      <x:c r="AS9" s="135" t="s">
        <x:v>440</x:v>
      </x:c>
      <x:c r="AT9" s="135" t="s">
        <x:v>440</x:v>
      </x:c>
      <x:c r="AU9" s="137" t="str">
        <x:v>[OEM] S20 Canadian Version 1 (26065 (2406), 2025): prior workbook extraction attributes inability to shift to neutral after loss of 12V power. [OEM] S30 American Version 2 (26065 (2506), 2025–26), p.12: says the selector can shift into P or N without POWER/brake when the 12V system is unavailable. Version-specific disagreement retained; neither statement is universal. S20 V1 also supplied the earlier shutdown/parking-brake notes. Use the applicable full OEM guide; do not merge procedures.</x:v>
      </x:c>
      <x:c r="AV9" s="135" t="s">
        <x:v>201</x:v>
      </x:c>
      <x:c r="AW9" s="137" t="s">
        <x:v>647</x:v>
      </x:c>
      <x:c r="AX9" s="137" t="str">
        <x:v>https://www.honda.ca/Content/honda.ca/960C3EB4-D8E4-4446-B894-8A66DDE970B4/GenericContent_FFH/2025%20Civic%20Hybrid%20Emergency%20Response%20Guide%20%28final%29%20EN.pdf
https://techinfo.honda.com/Rjanisis/pubs/web/AEG26065.pdf</x:v>
      </x:c>
      <x:c r="AY9" s="135" t="str">
        <x:v>UPGRADED from 'Not publicly verified' using the uploaded Honda ERG. Capacity (45 Ah/20HR, 36 Ah/5HR), nominal voltage and lead-acid composition are now OEM-verified. Group size, CCA, reserve capacity, dimensions, weight and OEM part number are still NOT stated in the ERG and remain unverified. Previous status detail: Partially OEM-verified (capacity/chemistry) - Honda ERG. Source identity correction: S20 = Canadian V1 26065 (2406), 2025. S30 = American V2 26065 (2506), 2025–26. Existing S20-derived data has not been silently migrated to S30. See AU9 for the neutral-shift disagreement. Record scope narrowed from 2025-2026 to 2025, matching linked vehicle records. Source coverage may be broader; this is not a claim of fitment approval. S20 Canadian V1 supports the 2025 source scope. S30 covers 2025–26 but has not been used to extend the complete row to 2026.</x:v>
      </x:c>
      <x:c r="AZ9" s="138" t="str">
        <x:v>Partially verified</x:v>
      </x:c>
      <x:c r="BA9" s="141" t="n">
        <x:v>46288</x:v>
      </x:c>
    </x:row>
    <x:row r="10" ht="183.60000610351562" hidden="0" customHeight="1">
      <x:c r="A10" s="132" t="s">
        <x:v>648</x:v>
      </x:c>
      <x:c r="B10" s="132" t="s">
        <x:v>66</x:v>
      </x:c>
      <x:c r="C10" s="132" t="s">
        <x:v>71</x:v>
      </x:c>
      <x:c r="D10" s="132" t="str">
        <x:v>2025</x:v>
      </x:c>
      <x:c r="E10" s="132" t="s">
        <x:v>635</x:v>
      </x:c>
      <x:c r="F10" s="132" t="s">
        <x:v>636</x:v>
      </x:c>
      <x:c r="G10" s="132" t="str">
        <x:v>910027</x:v>
      </x:c>
      <x:c r="H10" s="149" t="s">
        <x:v>649</x:v>
      </x:c>
      <x:c r="I10" s="132" t="s">
        <x:v>650</x:v>
      </x:c>
      <x:c r="J10" s="132" t="s">
        <x:v>651</x:v>
      </x:c>
      <x:c r="K10" s="132" t="s">
        <x:v>652</x:v>
      </x:c>
      <x:c r="L10" s="135" t="s">
        <x:v>653</x:v>
      </x:c>
      <x:c r="M10" s="135" t="s">
        <x:v>654</x:v>
      </x:c>
      <x:c r="N10" s="132" t="s">
        <x:v>655</x:v>
      </x:c>
      <x:c r="O10" s="135" t="s">
        <x:v>201</x:v>
      </x:c>
      <x:c r="P10" s="135" t="s">
        <x:v>654</x:v>
      </x:c>
      <x:c r="Q10" s="135" t="s">
        <x:v>654</x:v>
      </x:c>
      <x:c r="R10" s="135" t="s">
        <x:v>654</x:v>
      </x:c>
      <x:c r="S10" s="132" t="s">
        <x:v>656</x:v>
      </x:c>
      <x:c r="T10" s="135" t="s">
        <x:v>201</x:v>
      </x:c>
      <x:c r="U10" s="135" t="s">
        <x:v>201</x:v>
      </x:c>
      <x:c r="V10" s="135" t="s">
        <x:v>201</x:v>
      </x:c>
      <x:c r="W10" s="135" t="s">
        <x:v>201</x:v>
      </x:c>
      <x:c r="X10" s="135" t="s">
        <x:v>201</x:v>
      </x:c>
      <x:c r="Y10" s="135" t="s">
        <x:v>201</x:v>
      </x:c>
      <x:c r="Z10" s="135" t="s">
        <x:v>201</x:v>
      </x:c>
      <x:c r="AA10" s="135" t="s">
        <x:v>201</x:v>
      </x:c>
      <x:c r="AB10" s="135" t="s">
        <x:v>201</x:v>
      </x:c>
      <x:c r="AC10" s="135" t="s">
        <x:v>201</x:v>
      </x:c>
      <x:c r="AD10" s="132"/>
      <x:c r="AE10" s="132"/>
      <x:c r="AF10" s="132"/>
      <x:c r="AG10" s="135" t="s">
        <x:v>657</x:v>
      </x:c>
      <x:c r="AH10" s="137" t="s">
        <x:v>658</x:v>
      </x:c>
      <x:c r="AI10" s="137" t="s">
        <x:v>659</x:v>
      </x:c>
      <x:c r="AJ10" s="132" t="s">
        <x:v>660</x:v>
      </x:c>
      <x:c r="AK10" s="135" t="s">
        <x:v>201</x:v>
      </x:c>
      <x:c r="AL10" s="137" t="s">
        <x:v>661</x:v>
      </x:c>
      <x:c r="AM10" s="135" t="s">
        <x:v>201</x:v>
      </x:c>
      <x:c r="AN10" s="135" t="s">
        <x:v>201</x:v>
      </x:c>
      <x:c r="AO10" s="137" t="s">
        <x:v>662</x:v>
      </x:c>
      <x:c r="AP10" s="137" t="s">
        <x:v>663</x:v>
      </x:c>
      <x:c r="AQ10" s="135" t="s">
        <x:v>201</x:v>
      </x:c>
      <x:c r="AR10" s="135" t="s">
        <x:v>201</x:v>
      </x:c>
      <x:c r="AS10" s="135" t="s">
        <x:v>201</x:v>
      </x:c>
      <x:c r="AT10" s="132" t="s">
        <x:v>664</x:v>
      </x:c>
      <x:c r="AU10" s="137" t="str">
        <x:v>LETHAL 262 V. Pack is under the REAR SEAT; no access from the vehicle underside. HV service plug is under the rear seat cushion (10 mm cover bolts). SHUTDOWN - preferred: hold POWER button 3 s, then move the keyless remote at least 6 m away; alternative: cut the negative 12V cable AND the PCU cable at the two labelled cut points. Airbags/pretensioners retain power up to 3 MINUTES after shutdown. HV cables are ORANGE - never touch if exposed. PPE (insulating gloves, goggles, boots) required. FIRE: large sustained volume of water (or ABC powder); direct water into the HV battery vent under the rear seat cushion; never seawater/salt water; do not open the battery cover; assume stranded energy and possible re-ignition; monitor with a thermal camera. SUBMERSION: no shock risk from touching the body. DISCHARGING (if severely damaged/burned/submerged): remove service plug, submerge in a 6 x 3 x 1 m pool to a minimum depth of 522 mm for at least 3.5 days, then dispose of the water as industrial waste. STORAGE: outdoors, 15 m (50 ft) from combustibles. Electrolyte is corrosive/flammable - flush skin or eyes 5 minutes and seek medical attention. Dealer/qualified service only. [OEM - Honda ERG pp.9,14-16,21,23-24,30-36] Version boundary: preceding ERG procedure text is the retained S20 Canadian V1 attribution, not a verified transcription of S30 US V2. Neutral-shift claims differ; see AU9. Do not combine versions into one procedure.</x:v>
      </x:c>
      <x:c r="AV10" s="135" t="s">
        <x:v>665</x:v>
      </x:c>
      <x:c r="AW10" s="149" t="s">
        <x:v>666</x:v>
      </x:c>
      <x:c r="AX10" s="137" t="str">
        <x:v>https://www.honda.ca/Content/honda.ca/960C3EB4-D8E4-4446-B894-8A66DDE970B4/GenericContent_FFH/2025%20Civic%20Hybrid%20Emergency%20Response%20Guide%20%28final%29%20EN.pdf
https://techinfo.honda.com/Rjanisis/pubs/web/AEG26065.pdf</x:v>
      </x:c>
      <x:c r="AY10" s="137" t="str">
        <x:v>UPGRADED using the uploaded Honda ERG (Tier A, manufacturer). Newly OEM-verified: cell/module split (36 x 2), full chemistry composition, LIQUID cooling (1.1 L dedicated HV coolant), contactor/BMS crash behaviour, and the retained safety/service/discharge extract (S20 Canadian Version 1 only; not revalidated against S30). STILL not published anywhere in the ERG: usable energy, max charge current, max discharge current, C-rate, SOC operating window, depth of discharge and cycle life - these remain service-manual items. Note the ERG states pack voltage and cell count but NOT kWh; the 1.06 kWh figure comes from Honda's newsroom, so the two sources are complementary rather than conflicting. Previous status detail: OEM-verified (Honda ERG) - internal limits still unavailable. Source identity correction: S20 = Canadian V1 26065 (2406), 2025. S30 = American V2 26065 (2506), 2025–26. Existing S20-derived data has not been silently migrated to S30. See AU9 for the neutral-shift disagreement. Locator gaps retained: no exact Honda Newsroom URL is on record for the 1.06 kWh claim (S16), and no exact Go-Parts URL is on record for the replacement assembly claim (S15). Those legacy attributions remain unverified in this pass; homepages are not supporting citations. Record scope narrowed from 2025-2026 to 2025, matching linked vehicle records. Source coverage may be broader; this is not a claim of fitment approval. S20 Canadian V1 supports the 2025 source scope. S30 covers 2025–26 but has not been used to extend the complete row to 2026.</x:v>
      </x:c>
      <x:c r="AZ10" s="138" t="str">
        <x:v>Partially verified</x:v>
      </x:c>
      <x:c r="BA10" s="141" t="n">
        <x:v>46288</x:v>
      </x:c>
    </x:row>
    <x:row r="11" ht="43.20000076293945" hidden="0" customHeight="1">
      <x:c r="A11" s="113" t="str">
        <x:v>B-CAM-001</x:v>
      </x:c>
      <x:c r="B11" s="113" t="str">
        <x:v>Toyota</x:v>
      </x:c>
      <x:c r="C11" s="113" t="str">
        <x:v>Camry</x:v>
      </x:c>
      <x:c r="D11" s="113" t="str">
        <x:v>2019</x:v>
      </x:c>
      <x:c r="E11" s="113" t="str">
        <x:v>LE, non-hybrid</x:v>
      </x:c>
      <x:c r="F11" s="113" t="str">
        <x:v>2.5L A25A-FKS [OEM] S22</x:v>
      </x:c>
      <x:c r="G11" s="113" t="str">
        <x:v>910002</x:v>
      </x:c>
      <x:c r="H11" s="113" t="str">
        <x:v>Starting battery</x:v>
      </x:c>
      <x:c r="I11" s="113" t="str">
        <x:v>TrueStart service replacement, not factory-original rating</x:v>
      </x:c>
      <x:c r="J11" s="113" t="str">
        <x:v>Not publicly verified</x:v>
      </x:c>
      <x:c r="K11" s="113" t="str">
        <x:v>00544-H6074-770 [OEM] S23</x:v>
      </x:c>
      <x:c r="L11" s="113" t="str">
        <x:v>Interstate MTP-48/H6 (S26): aftermarket candidate; exact Camry LE fitment Not publicly verified. Product specifications: 02_real_parts / P-REAL-004.</x:v>
      </x:c>
      <x:c r="M11" s="113" t="str">
        <x:v>H6 / LN3 [OEM] S21/S23</x:v>
      </x:c>
      <x:c r="N11" s="113" t="n">
        <x:v>12</x:v>
      </x:c>
      <x:c r="O11" s="113" t="str">
        <x:v>Not publicly verified</x:v>
      </x:c>
      <x:c r="P11" s="113" t="n">
        <x:v>770</x:v>
      </x:c>
      <x:c r="Q11" s="113" t="str">
        <x:v>Not publicly verified</x:v>
      </x:c>
      <x:c r="R11" s="113" t="n">
        <x:v>130</x:v>
      </x:c>
      <x:c r="S11" s="113" t="str">
        <x:v>Not publicly verified</x:v>
      </x:c>
      <x:c r="T11" s="113" t="str">
        <x:v>Not publicly verified as a normal rate; OEM maximums in U</x:v>
      </x:c>
      <x:c r="U11" s="113" t="str">
        <x:v>Without vent plugs: 5 A max. With vent plugs: slow 5 A max / quick 15 A max [OEM] S22 p.546</x:v>
      </x:c>
      <x:c r="V11" s="113" t="str">
        <x:v>Not publicly verified</x:v>
      </x:c>
      <x:c r="W11" s="113" t="str">
        <x:v>Not publicly verified</x:v>
      </x:c>
      <x:c r="X11" s="113" t="str">
        <x:v>Not publicly verified</x:v>
      </x:c>
      <x:c r="Y11" s="113" t="str">
        <x:v>Not publicly verified</x:v>
      </x:c>
      <x:c r="Z11" s="113" t="str">
        <x:v>Not publicly verified</x:v>
      </x:c>
      <x:c r="AA11" s="113" t="str">
        <x:v>Not publicly verified</x:v>
      </x:c>
      <x:c r="AB11" s="113" t="str">
        <x:v>Not publicly verified</x:v>
      </x:c>
      <x:c r="AC11" s="113" t="str">
        <x:v>Not publicly verified</x:v>
      </x:c>
      <x:c r="AD11" s="113" t="str">
        <x:v>Not publicly verified</x:v>
      </x:c>
      <x:c r="AE11" s="113" t="str">
        <x:v>Conflicting source dimensions; see source audit. Do not use as a fit envelope.</x:v>
      </x:c>
      <x:c r="AF11" s="113" t="str">
        <x:v>Not publicly verified</x:v>
      </x:c>
      <x:c r="AG11" s="113" t="str">
        <x:v>Not publicly verified</x:v>
      </x:c>
      <x:c r="AH11" s="113" t="str">
        <x:v>N/A - low-voltage battery</x:v>
      </x:c>
      <x:c r="AI11" s="113" t="str">
        <x:v>N/A - low-voltage battery</x:v>
      </x:c>
      <x:c r="AJ11" s="113" t="str">
        <x:v>N/A - low-voltage battery</x:v>
      </x:c>
      <x:c r="AK11" s="113" t="str">
        <x:v>N/A - low-voltage battery</x:v>
      </x:c>
      <x:c r="AL11" s="113" t="str">
        <x:v>N/A - low-voltage battery</x:v>
      </x:c>
      <x:c r="AM11" s="113" t="str">
        <x:v>N/A - low-voltage battery</x:v>
      </x:c>
      <x:c r="AN11" s="113" t="str">
        <x:v>N/A - low-voltage battery</x:v>
      </x:c>
      <x:c r="AO11" s="113" t="str">
        <x:v>N/A - low-voltage battery</x:v>
      </x:c>
      <x:c r="AP11" s="113" t="str">
        <x:v>N/A - low-voltage battery</x:v>
      </x:c>
      <x:c r="AQ11" s="113" t="str">
        <x:v>N/A - low-voltage battery</x:v>
      </x:c>
      <x:c r="AR11" s="113" t="str">
        <x:v>N/A - low-voltage battery</x:v>
      </x:c>
      <x:c r="AS11" s="113" t="str">
        <x:v>N/A - low-voltage battery</x:v>
      </x:c>
      <x:c r="AT11" s="113" t="str">
        <x:v>N/A - low-voltage battery</x:v>
      </x:c>
      <x:c r="AU11" s="113" t="str">
        <x:v>N/A - low-voltage battery</x:v>
      </x:c>
      <x:c r="AV11" s="113" t="str">
        <x:v>84-month limited; first 24 months free exchange, then prorated [OEM] S23</x:v>
      </x:c>
      <x:c r="AW11" s="113" t="str">
        <x:v>S21 lists 2019 non-hybrid Camry H6. Confirm terminals, retention and installed battery. Toyota service ratings do not establish factory-original CCA.</x:v>
      </x:c>
      <x:c r="AX11" s="113" t="str">
        <x:v>https://www.toyotapartsandservice.com/wp-content/uploads/2024/10/03_Batteries2024_hi.pdf
https://assets.sia.toyota.com/publications/en/om-s/OM06142U/pdf/OM06142U.pdf
https://autoparts.toyota.com/products/product/toyota-truestart-battery-770-cca-00544h6074770
https://www.interstatebatteries.com/products/mtp-48/h6</x:v>
      </x:c>
      <x:c r="AY11" s="113" t="str">
        <x:v>N [OEM] S22 p.529. P/R [OEM] S23, product ratings only. U [OEM] S22 is conditional on vent plugs. Licensed vehicle mapping and technician review missing. B-CAM-002 was a product-only duplicate and has been removed. Its product ratings remain in 02_real_parts / P-REAL-004; they are not vehicle requirements. Previous status detail: Sourced service candidate; not production approved.</x:v>
      </x:c>
      <x:c r="AZ11" s="113" t="str">
        <x:v>Partially verified</x:v>
      </x:c>
      <x:c r="BA11" s="114" t="n">
        <x:v>46288</x:v>
      </x:c>
    </x:row>
    <x:row r="12" ht="15" hidden="0" customHeight="1">
      <x:c r="A12" s="18" t="s">
        <x:v>667</x:v>
      </x:c>
      <x:c r="B12" s="18" t="s">
        <x:v>483</x:v>
      </x:c>
      <x:c r="C12" s="18" t="s">
        <x:v>484</x:v>
      </x:c>
      <x:c r="D12" s="27" t="s">
        <x:v>488</x:v>
      </x:c>
      <x:c r="E12" s="27" t="s">
        <x:v>488</x:v>
      </x:c>
      <x:c r="F12" s="27" t="s">
        <x:v>488</x:v>
      </x:c>
      <x:c r="G12" s="18"/>
      <x:c r="H12" s="27" t="s">
        <x:v>488</x:v>
      </x:c>
      <x:c r="I12" s="27" t="s">
        <x:v>488</x:v>
      </x:c>
      <x:c r="J12" s="27" t="s">
        <x:v>488</x:v>
      </x:c>
      <x:c r="K12" s="27" t="s">
        <x:v>488</x:v>
      </x:c>
      <x:c r="L12" s="27" t="s">
        <x:v>488</x:v>
      </x:c>
      <x:c r="M12" s="27" t="s">
        <x:v>488</x:v>
      </x:c>
      <x:c r="N12" s="27" t="s">
        <x:v>488</x:v>
      </x:c>
      <x:c r="O12" s="27" t="s">
        <x:v>488</x:v>
      </x:c>
      <x:c r="P12" s="27" t="s">
        <x:v>488</x:v>
      </x:c>
      <x:c r="Q12" s="27" t="s">
        <x:v>488</x:v>
      </x:c>
      <x:c r="R12" s="27" t="s">
        <x:v>488</x:v>
      </x:c>
      <x:c r="S12" s="27" t="s">
        <x:v>488</x:v>
      </x:c>
      <x:c r="T12" s="27" t="s">
        <x:v>488</x:v>
      </x:c>
      <x:c r="U12" s="27" t="s">
        <x:v>488</x:v>
      </x:c>
      <x:c r="V12" s="27" t="s">
        <x:v>488</x:v>
      </x:c>
      <x:c r="W12" s="27" t="s">
        <x:v>488</x:v>
      </x:c>
      <x:c r="X12" s="27" t="s">
        <x:v>488</x:v>
      </x:c>
      <x:c r="Y12" s="27" t="s">
        <x:v>488</x:v>
      </x:c>
      <x:c r="Z12" s="27" t="s">
        <x:v>488</x:v>
      </x:c>
      <x:c r="AA12" s="27" t="s">
        <x:v>488</x:v>
      </x:c>
      <x:c r="AB12" s="27" t="s">
        <x:v>488</x:v>
      </x:c>
      <x:c r="AC12" s="27" t="s">
        <x:v>488</x:v>
      </x:c>
      <x:c r="AD12" s="27" t="s">
        <x:v>488</x:v>
      </x:c>
      <x:c r="AE12" s="27" t="s">
        <x:v>488</x:v>
      </x:c>
      <x:c r="AF12" s="27" t="s">
        <x:v>488</x:v>
      </x:c>
      <x:c r="AG12" s="27" t="s">
        <x:v>488</x:v>
      </x:c>
      <x:c r="AH12" s="27" t="s">
        <x:v>488</x:v>
      </x:c>
      <x:c r="AI12" s="27" t="s">
        <x:v>488</x:v>
      </x:c>
      <x:c r="AJ12" s="27" t="s">
        <x:v>488</x:v>
      </x:c>
      <x:c r="AK12" s="27" t="s">
        <x:v>488</x:v>
      </x:c>
      <x:c r="AL12" s="27" t="s">
        <x:v>488</x:v>
      </x:c>
      <x:c r="AM12" s="27" t="s">
        <x:v>488</x:v>
      </x:c>
      <x:c r="AN12" s="27" t="s">
        <x:v>488</x:v>
      </x:c>
      <x:c r="AO12" s="27" t="s">
        <x:v>488</x:v>
      </x:c>
      <x:c r="AP12" s="27" t="s">
        <x:v>488</x:v>
      </x:c>
      <x:c r="AQ12" s="27" t="s">
        <x:v>488</x:v>
      </x:c>
      <x:c r="AR12" s="27" t="s">
        <x:v>488</x:v>
      </x:c>
      <x:c r="AS12" s="27" t="s">
        <x:v>488</x:v>
      </x:c>
      <x:c r="AT12" s="27" t="s">
        <x:v>488</x:v>
      </x:c>
      <x:c r="AU12" s="27" t="s">
        <x:v>488</x:v>
      </x:c>
      <x:c r="AV12" s="27" t="s">
        <x:v>488</x:v>
      </x:c>
      <x:c r="AW12" s="27" t="s">
        <x:v>668</x:v>
      </x:c>
      <x:c r="AX12" s="132" t="s">
        <x:v>491</x:v>
      </x:c>
      <x:c r="AY12" s="132" t="str">
        <x:v>- Previous status detail: Pending (Civic-first).</x:v>
      </x:c>
      <x:c r="AZ12" s="132" t="str">
        <x:v>Pending</x:v>
      </x:c>
      <x:c r="BA12" s="142" t="s">
        <x:v>491</x:v>
      </x:c>
    </x:row>
    <x:row r="13" ht="43.20000076293945" hidden="0" customHeight="1">
      <x:c r="A13" s="113" t="str">
        <x:v>B-RAV-00A</x:v>
      </x:c>
      <x:c r="B13" s="113" t="str">
        <x:v>Toyota</x:v>
      </x:c>
      <x:c r="C13" s="113" t="str">
        <x:v>RAV4 Hybrid</x:v>
      </x:c>
      <x:c r="D13" s="113" t="str">
        <x:v>2019</x:v>
      </x:c>
      <x:c r="E13" s="113" t="str">
        <x:v>LE target; Type A must be established</x:v>
      </x:c>
      <x:c r="F13" s="113" t="str">
        <x:v>Hybrid [OEM] S29</x:v>
      </x:c>
      <x:c r="G13" s="113" t="str">
        <x:v>910004</x:v>
      </x:c>
      <x:c r="H13" s="113" t="str">
        <x:v>Auxiliary 12 V</x:v>
      </x:c>
      <x:c r="I13" s="113" t="str">
        <x:v>OEM replacement requirements, Type A</x:v>
      </x:c>
      <x:c r="J13" s="113" t="str">
        <x:v>Vented calcium battery [OEM] S29 p.662</x:v>
      </x:c>
      <x:c r="K13" s="113" t="str">
        <x:v>00544-H4470-TS [OEM] conditional service candidate, S21 + S25</x:v>
      </x:c>
      <x:c r="L13" s="113" t="str">
        <x:v>Not publicly verified</x:v>
      </x:c>
      <x:c r="M13" s="113" t="str">
        <x:v>LN1 / H4 [OEM] S29/S21</x:v>
      </x:c>
      <x:c r="N13" s="113" t="n">
        <x:v>12</x:v>
      </x:c>
      <x:c r="O13" s="113" t="n">
        <x:v>45</x:v>
      </x:c>
      <x:c r="P13" s="113" t="n">
        <x:v>285</x:v>
      </x:c>
      <x:c r="Q13" s="113" t="str">
        <x:v>Not publicly verified</x:v>
      </x:c>
      <x:c r="R13" s="113" t="str">
        <x:v>Not publicly verified</x:v>
      </x:c>
      <x:c r="S13" s="113" t="str">
        <x:v>Not publicly verified</x:v>
      </x:c>
      <x:c r="T13" s="113" t="str">
        <x:v>Slow charge: 5 A maximum [OEM] S29 p.674</x:v>
      </x:c>
      <x:c r="U13" s="113" t="str">
        <x:v>Quick charge: 15 A maximum [OEM] S29 p.674</x:v>
      </x:c>
      <x:c r="V13" s="113" t="str">
        <x:v>Not publicly verified</x:v>
      </x:c>
      <x:c r="W13" s="113" t="str">
        <x:v>Not publicly verified</x:v>
      </x:c>
      <x:c r="X13" s="113" t="str">
        <x:v>Not publicly verified</x:v>
      </x:c>
      <x:c r="Y13" s="113" t="str">
        <x:v>Not publicly verified</x:v>
      </x:c>
      <x:c r="Z13" s="113" t="str">
        <x:v>Not publicly verified</x:v>
      </x:c>
      <x:c r="AA13" s="113" t="str">
        <x:v>Not publicly verified</x:v>
      </x:c>
      <x:c r="AB13" s="113" t="str">
        <x:v>Not publicly verified</x:v>
      </x:c>
      <x:c r="AC13" s="113" t="str">
        <x:v>Not publicly verified</x:v>
      </x:c>
      <x:c r="AD13" s="113" t="str">
        <x:v>Not publicly verified</x:v>
      </x:c>
      <x:c r="AE13" s="113" t="str">
        <x:v>Not publicly verified</x:v>
      </x:c>
      <x:c r="AF13" s="113" t="str">
        <x:v>Not publicly verified</x:v>
      </x:c>
      <x:c r="AG13" s="113" t="str">
        <x:v>Orientation Not publicly verified; preserve vent hose, exhaust plug and handle [OEM] S29 p.662</x:v>
      </x:c>
      <x:c r="AH13" s="113" t="str">
        <x:v>N/A - low-voltage battery</x:v>
      </x:c>
      <x:c r="AI13" s="113" t="str">
        <x:v>N/A - low-voltage battery</x:v>
      </x:c>
      <x:c r="AJ13" s="113" t="str">
        <x:v>N/A - low-voltage battery</x:v>
      </x:c>
      <x:c r="AK13" s="113" t="str">
        <x:v>N/A - low-voltage battery</x:v>
      </x:c>
      <x:c r="AL13" s="113" t="str">
        <x:v>N/A - low-voltage battery</x:v>
      </x:c>
      <x:c r="AM13" s="113" t="str">
        <x:v>N/A - low-voltage battery</x:v>
      </x:c>
      <x:c r="AN13" s="113" t="str">
        <x:v>N/A - low-voltage battery</x:v>
      </x:c>
      <x:c r="AO13" s="113" t="str">
        <x:v>N/A - low-voltage battery</x:v>
      </x:c>
      <x:c r="AP13" s="113" t="str">
        <x:v>N/A - low-voltage battery</x:v>
      </x:c>
      <x:c r="AQ13" s="113" t="str">
        <x:v>N/A - low-voltage battery</x:v>
      </x:c>
      <x:c r="AR13" s="113" t="str">
        <x:v>N/A - low-voltage battery</x:v>
      </x:c>
      <x:c r="AS13" s="113" t="str">
        <x:v>N/A - low-voltage battery</x:v>
      </x:c>
      <x:c r="AT13" s="113" t="str">
        <x:v>N/A - low-voltage battery</x:v>
      </x:c>
      <x:c r="AU13" s="113" t="str">
        <x:v>N/A - low-voltage battery</x:v>
      </x:c>
      <x:c r="AV13" s="113" t="str">
        <x:v>Not publicly verified</x:v>
      </x:c>
      <x:c r="AW13" s="113" t="str">
        <x:v>Match the previously installed case. LE trim alone does not identify A/B/C. O and P are minimum replacement requirements, not TrueStart product ratings. HV remains excluded.</x:v>
      </x:c>
      <x:c r="AX13" s="113" t="str">
        <x:v>https://assets.sia.toyota.com/publications/en/om-s/OM0R010U/pdf/OM0R010U.pdf
https://www.toyotapartsandservice.com/wp-content/uploads/2024/10/03_Batteries2024_hi.pdf</x:v>
      </x:c>
      <x:c r="AY13" s="113" t="str">
        <x:v>N/O/P [OEM] S29 p.662; O minimum Ah at 20-hour rate; P minimum CCA. S21 gives service candidates; installed type, physical interfaces and product Ah must be confirmed. No type is assumed. Previous status detail: Conditional OEM requirement; installed type unresolved. Recheck: p.662 explicitly prints 285 CCA for Type A and 286 for Type B; no correction or explanation inferred.</x:v>
      </x:c>
      <x:c r="AZ13" s="113" t="str">
        <x:v>Partially verified</x:v>
      </x:c>
      <x:c r="BA13" s="114" t="n">
        <x:v>46288</x:v>
      </x:c>
    </x:row>
    <x:row r="14" ht="15" hidden="0" customHeight="1">
      <x:c r="A14" s="18" t="s">
        <x:v>667</x:v>
      </x:c>
      <x:c r="B14" s="18" t="s">
        <x:v>498</x:v>
      </x:c>
      <x:c r="C14" s="18" t="s">
        <x:v>499</x:v>
      </x:c>
      <x:c r="D14" s="27" t="s">
        <x:v>488</x:v>
      </x:c>
      <x:c r="E14" s="27" t="s">
        <x:v>488</x:v>
      </x:c>
      <x:c r="F14" s="27" t="s">
        <x:v>488</x:v>
      </x:c>
      <x:c r="G14" s="18"/>
      <x:c r="H14" s="27" t="s">
        <x:v>488</x:v>
      </x:c>
      <x:c r="I14" s="27" t="s">
        <x:v>488</x:v>
      </x:c>
      <x:c r="J14" s="27" t="s">
        <x:v>488</x:v>
      </x:c>
      <x:c r="K14" s="27" t="s">
        <x:v>488</x:v>
      </x:c>
      <x:c r="L14" s="27" t="s">
        <x:v>488</x:v>
      </x:c>
      <x:c r="M14" s="27" t="s">
        <x:v>488</x:v>
      </x:c>
      <x:c r="N14" s="27" t="s">
        <x:v>488</x:v>
      </x:c>
      <x:c r="O14" s="27" t="s">
        <x:v>488</x:v>
      </x:c>
      <x:c r="P14" s="27" t="s">
        <x:v>488</x:v>
      </x:c>
      <x:c r="Q14" s="27" t="s">
        <x:v>488</x:v>
      </x:c>
      <x:c r="R14" s="27" t="s">
        <x:v>488</x:v>
      </x:c>
      <x:c r="S14" s="27" t="s">
        <x:v>488</x:v>
      </x:c>
      <x:c r="T14" s="27" t="s">
        <x:v>488</x:v>
      </x:c>
      <x:c r="U14" s="27" t="s">
        <x:v>488</x:v>
      </x:c>
      <x:c r="V14" s="27" t="s">
        <x:v>488</x:v>
      </x:c>
      <x:c r="W14" s="27" t="s">
        <x:v>488</x:v>
      </x:c>
      <x:c r="X14" s="27" t="s">
        <x:v>488</x:v>
      </x:c>
      <x:c r="Y14" s="27" t="s">
        <x:v>488</x:v>
      </x:c>
      <x:c r="Z14" s="27" t="s">
        <x:v>488</x:v>
      </x:c>
      <x:c r="AA14" s="27" t="s">
        <x:v>488</x:v>
      </x:c>
      <x:c r="AB14" s="27" t="s">
        <x:v>488</x:v>
      </x:c>
      <x:c r="AC14" s="27" t="s">
        <x:v>488</x:v>
      </x:c>
      <x:c r="AD14" s="27" t="s">
        <x:v>488</x:v>
      </x:c>
      <x:c r="AE14" s="27" t="s">
        <x:v>488</x:v>
      </x:c>
      <x:c r="AF14" s="27" t="s">
        <x:v>488</x:v>
      </x:c>
      <x:c r="AG14" s="27" t="s">
        <x:v>488</x:v>
      </x:c>
      <x:c r="AH14" s="27" t="s">
        <x:v>488</x:v>
      </x:c>
      <x:c r="AI14" s="27" t="s">
        <x:v>488</x:v>
      </x:c>
      <x:c r="AJ14" s="27" t="s">
        <x:v>488</x:v>
      </x:c>
      <x:c r="AK14" s="27" t="s">
        <x:v>488</x:v>
      </x:c>
      <x:c r="AL14" s="27" t="s">
        <x:v>488</x:v>
      </x:c>
      <x:c r="AM14" s="27" t="s">
        <x:v>488</x:v>
      </x:c>
      <x:c r="AN14" s="27" t="s">
        <x:v>488</x:v>
      </x:c>
      <x:c r="AO14" s="27" t="s">
        <x:v>488</x:v>
      </x:c>
      <x:c r="AP14" s="27" t="s">
        <x:v>488</x:v>
      </x:c>
      <x:c r="AQ14" s="27" t="s">
        <x:v>488</x:v>
      </x:c>
      <x:c r="AR14" s="27" t="s">
        <x:v>488</x:v>
      </x:c>
      <x:c r="AS14" s="27" t="s">
        <x:v>488</x:v>
      </x:c>
      <x:c r="AT14" s="27" t="s">
        <x:v>488</x:v>
      </x:c>
      <x:c r="AU14" s="27" t="s">
        <x:v>488</x:v>
      </x:c>
      <x:c r="AV14" s="27" t="s">
        <x:v>488</x:v>
      </x:c>
      <x:c r="AW14" s="27" t="s">
        <x:v>668</x:v>
      </x:c>
      <x:c r="AX14" s="132" t="s">
        <x:v>491</x:v>
      </x:c>
      <x:c r="AY14" s="132" t="str">
        <x:v>- Previous status detail: Pending (Civic-first).</x:v>
      </x:c>
      <x:c r="AZ14" s="132" t="str">
        <x:v>Pending</x:v>
      </x:c>
      <x:c r="BA14" s="142" t="s">
        <x:v>491</x:v>
      </x:c>
    </x:row>
    <x:row r="15" ht="15" hidden="0" customHeight="1">
      <x:c r="A15" s="18" t="s">
        <x:v>667</x:v>
      </x:c>
      <x:c r="B15" s="18" t="s">
        <x:v>502</x:v>
      </x:c>
      <x:c r="C15" s="18" t="s">
        <x:v>503</x:v>
      </x:c>
      <x:c r="D15" s="27" t="s">
        <x:v>488</x:v>
      </x:c>
      <x:c r="E15" s="27" t="s">
        <x:v>488</x:v>
      </x:c>
      <x:c r="F15" s="27" t="s">
        <x:v>488</x:v>
      </x:c>
      <x:c r="G15" s="18"/>
      <x:c r="H15" s="27" t="s">
        <x:v>488</x:v>
      </x:c>
      <x:c r="I15" s="27" t="s">
        <x:v>488</x:v>
      </x:c>
      <x:c r="J15" s="27" t="s">
        <x:v>488</x:v>
      </x:c>
      <x:c r="K15" s="27" t="s">
        <x:v>488</x:v>
      </x:c>
      <x:c r="L15" s="27" t="s">
        <x:v>488</x:v>
      </x:c>
      <x:c r="M15" s="27" t="s">
        <x:v>488</x:v>
      </x:c>
      <x:c r="N15" s="27" t="s">
        <x:v>488</x:v>
      </x:c>
      <x:c r="O15" s="27" t="s">
        <x:v>488</x:v>
      </x:c>
      <x:c r="P15" s="27" t="s">
        <x:v>488</x:v>
      </x:c>
      <x:c r="Q15" s="27" t="s">
        <x:v>488</x:v>
      </x:c>
      <x:c r="R15" s="27" t="s">
        <x:v>488</x:v>
      </x:c>
      <x:c r="S15" s="27" t="s">
        <x:v>488</x:v>
      </x:c>
      <x:c r="T15" s="27" t="s">
        <x:v>488</x:v>
      </x:c>
      <x:c r="U15" s="27" t="s">
        <x:v>488</x:v>
      </x:c>
      <x:c r="V15" s="27" t="s">
        <x:v>488</x:v>
      </x:c>
      <x:c r="W15" s="27" t="s">
        <x:v>488</x:v>
      </x:c>
      <x:c r="X15" s="27" t="s">
        <x:v>488</x:v>
      </x:c>
      <x:c r="Y15" s="27" t="s">
        <x:v>488</x:v>
      </x:c>
      <x:c r="Z15" s="27" t="s">
        <x:v>488</x:v>
      </x:c>
      <x:c r="AA15" s="27" t="s">
        <x:v>488</x:v>
      </x:c>
      <x:c r="AB15" s="27" t="s">
        <x:v>488</x:v>
      </x:c>
      <x:c r="AC15" s="27" t="s">
        <x:v>488</x:v>
      </x:c>
      <x:c r="AD15" s="27" t="s">
        <x:v>488</x:v>
      </x:c>
      <x:c r="AE15" s="27" t="s">
        <x:v>488</x:v>
      </x:c>
      <x:c r="AF15" s="27" t="s">
        <x:v>488</x:v>
      </x:c>
      <x:c r="AG15" s="27" t="s">
        <x:v>488</x:v>
      </x:c>
      <x:c r="AH15" s="27" t="s">
        <x:v>488</x:v>
      </x:c>
      <x:c r="AI15" s="27" t="s">
        <x:v>488</x:v>
      </x:c>
      <x:c r="AJ15" s="27" t="s">
        <x:v>488</x:v>
      </x:c>
      <x:c r="AK15" s="27" t="s">
        <x:v>488</x:v>
      </x:c>
      <x:c r="AL15" s="27" t="s">
        <x:v>488</x:v>
      </x:c>
      <x:c r="AM15" s="27" t="s">
        <x:v>488</x:v>
      </x:c>
      <x:c r="AN15" s="27" t="s">
        <x:v>488</x:v>
      </x:c>
      <x:c r="AO15" s="27" t="s">
        <x:v>488</x:v>
      </x:c>
      <x:c r="AP15" s="27" t="s">
        <x:v>488</x:v>
      </x:c>
      <x:c r="AQ15" s="27" t="s">
        <x:v>488</x:v>
      </x:c>
      <x:c r="AR15" s="27" t="s">
        <x:v>488</x:v>
      </x:c>
      <x:c r="AS15" s="27" t="s">
        <x:v>488</x:v>
      </x:c>
      <x:c r="AT15" s="27" t="s">
        <x:v>488</x:v>
      </x:c>
      <x:c r="AU15" s="27" t="s">
        <x:v>488</x:v>
      </x:c>
      <x:c r="AV15" s="27" t="s">
        <x:v>488</x:v>
      </x:c>
      <x:c r="AW15" s="27" t="s">
        <x:v>668</x:v>
      </x:c>
      <x:c r="AX15" s="132" t="s">
        <x:v>491</x:v>
      </x:c>
      <x:c r="AY15" s="132" t="str">
        <x:v>- Previous status detail: Pending (Civic-first).</x:v>
      </x:c>
      <x:c r="AZ15" s="132" t="str">
        <x:v>Pending</x:v>
      </x:c>
      <x:c r="BA15" s="142" t="s">
        <x:v>491</x:v>
      </x:c>
    </x:row>
    <x:row r="16" ht="66" hidden="0" customHeight="1">
      <x:c r="A16" s="118" t="str">
        <x:v>B-RAV-00B</x:v>
      </x:c>
      <x:c r="B16" s="118" t="str">
        <x:v>Toyota</x:v>
      </x:c>
      <x:c r="C16" s="118" t="str">
        <x:v>RAV4 Hybrid</x:v>
      </x:c>
      <x:c r="D16" s="118" t="str">
        <x:v>2019</x:v>
      </x:c>
      <x:c r="E16" s="118" t="str">
        <x:v>LE target; Type B must be established</x:v>
      </x:c>
      <x:c r="F16" s="118" t="str">
        <x:v>Hybrid [OEM] S29</x:v>
      </x:c>
      <x:c r="G16" s="118" t="str">
        <x:v>910004</x:v>
      </x:c>
      <x:c r="H16" s="118" t="str">
        <x:v>Auxiliary 12 V</x:v>
      </x:c>
      <x:c r="I16" s="118" t="str">
        <x:v>OEM replacement requirements, Type B</x:v>
      </x:c>
      <x:c r="J16" s="118" t="str">
        <x:v>Vented calcium battery [OEM] S29 p.662</x:v>
      </x:c>
      <x:c r="K16" s="118" t="str">
        <x:v>00544-H4470-TS [OEM] conditional service candidate, S21 + S25</x:v>
      </x:c>
      <x:c r="L16" s="118" t="str">
        <x:v>Not publicly verified</x:v>
      </x:c>
      <x:c r="M16" s="118" t="str">
        <x:v>LN1 / H4 [OEM] S29/S21</x:v>
      </x:c>
      <x:c r="N16" s="118" t="n">
        <x:v>12</x:v>
      </x:c>
      <x:c r="O16" s="118" t="n">
        <x:v>45</x:v>
      </x:c>
      <x:c r="P16" s="118" t="n">
        <x:v>286</x:v>
      </x:c>
      <x:c r="Q16" s="118" t="str">
        <x:v>Not publicly verified</x:v>
      </x:c>
      <x:c r="R16" s="118" t="str">
        <x:v>Not publicly verified</x:v>
      </x:c>
      <x:c r="S16" s="119" t="str">
        <x:v>Not publicly verified</x:v>
      </x:c>
      <x:c r="T16" s="118" t="str">
        <x:v>Slow charge: 5 A maximum [OEM] S29 p.674</x:v>
      </x:c>
      <x:c r="U16" s="118" t="str">
        <x:v>Quick charge: 15 A maximum [OEM] S29 p.674</x:v>
      </x:c>
      <x:c r="V16" s="118" t="str">
        <x:v>Not publicly verified</x:v>
      </x:c>
      <x:c r="W16" s="118" t="str">
        <x:v>Not publicly verified</x:v>
      </x:c>
      <x:c r="X16" s="118" t="str">
        <x:v>Not publicly verified</x:v>
      </x:c>
      <x:c r="Y16" s="118" t="str">
        <x:v>Not publicly verified</x:v>
      </x:c>
      <x:c r="Z16" s="118" t="str">
        <x:v>Not publicly verified</x:v>
      </x:c>
      <x:c r="AA16" s="118" t="str">
        <x:v>Not publicly verified</x:v>
      </x:c>
      <x:c r="AB16" s="118" t="str">
        <x:v>Not publicly verified</x:v>
      </x:c>
      <x:c r="AC16" s="118" t="str">
        <x:v>Not publicly verified</x:v>
      </x:c>
      <x:c r="AD16" s="118" t="str">
        <x:v>Not publicly verified</x:v>
      </x:c>
      <x:c r="AE16" s="118" t="str">
        <x:v>Not publicly verified</x:v>
      </x:c>
      <x:c r="AF16" s="118" t="str">
        <x:v>Not publicly verified</x:v>
      </x:c>
      <x:c r="AG16" s="118" t="str">
        <x:v>Orientation Not publicly verified; preserve vent hose, exhaust plug and handle [OEM] S29 p.662</x:v>
      </x:c>
      <x:c r="AH16" s="118" t="str">
        <x:v>N/A - low-voltage battery</x:v>
      </x:c>
      <x:c r="AI16" s="118" t="str">
        <x:v>N/A - low-voltage battery</x:v>
      </x:c>
      <x:c r="AJ16" s="118" t="str">
        <x:v>N/A - low-voltage battery</x:v>
      </x:c>
      <x:c r="AK16" s="118" t="str">
        <x:v>N/A - low-voltage battery</x:v>
      </x:c>
      <x:c r="AL16" s="118" t="str">
        <x:v>N/A - low-voltage battery</x:v>
      </x:c>
      <x:c r="AM16" s="118" t="str">
        <x:v>N/A - low-voltage battery</x:v>
      </x:c>
      <x:c r="AN16" s="118" t="str">
        <x:v>N/A - low-voltage battery</x:v>
      </x:c>
      <x:c r="AO16" s="118" t="str">
        <x:v>N/A - low-voltage battery</x:v>
      </x:c>
      <x:c r="AP16" s="118" t="str">
        <x:v>N/A - low-voltage battery</x:v>
      </x:c>
      <x:c r="AQ16" s="118" t="str">
        <x:v>N/A - low-voltage battery</x:v>
      </x:c>
      <x:c r="AR16" s="118" t="str">
        <x:v>N/A - low-voltage battery</x:v>
      </x:c>
      <x:c r="AS16" s="118" t="str">
        <x:v>N/A - low-voltage battery</x:v>
      </x:c>
      <x:c r="AT16" s="118" t="str">
        <x:v>N/A - low-voltage battery</x:v>
      </x:c>
      <x:c r="AU16" s="118" t="str">
        <x:v>N/A - low-voltage battery</x:v>
      </x:c>
      <x:c r="AV16" s="118" t="str">
        <x:v>Not publicly verified</x:v>
      </x:c>
      <x:c r="AW16" s="118" t="str">
        <x:v>Match the previously installed case. LE trim alone does not identify A/B/C. O and P are minimum replacement requirements, not TrueStart product ratings. HV remains excluded.</x:v>
      </x:c>
      <x:c r="AX16" s="111" t="str">
        <x:v>https://assets.sia.toyota.com/publications/en/om-s/OM0R010U/pdf/OM0R010U.pdf
https://www.toyotapartsandservice.com/wp-content/uploads/2024/10/03_Batteries2024_hi.pdf</x:v>
      </x:c>
      <x:c r="AY16" s="111" t="str">
        <x:v>N/O/P [OEM] S29 p.662; O minimum Ah at 20-hour rate; P minimum CCA. S21 gives service candidates; installed type, physical interfaces and product Ah must be confirmed. No type is assumed. Previous status detail: Conditional OEM requirement; installed type unresolved. Recheck: p.662 explicitly prints 285 CCA for Type A and 286 for Type B; no correction or explanation inferred.</x:v>
      </x:c>
      <x:c r="AZ16" s="111" t="str">
        <x:v>Partially verified</x:v>
      </x:c>
      <x:c r="BA16" s="112" t="n">
        <x:v>46288</x:v>
      </x:c>
    </x:row>
    <x:row r="17" ht="39.599998474121094" hidden="0" customHeight="1">
      <x:c r="A17" s="118" t="str">
        <x:v>B-RAV-00C</x:v>
      </x:c>
      <x:c r="B17" s="118" t="str">
        <x:v>Toyota</x:v>
      </x:c>
      <x:c r="C17" s="118" t="str">
        <x:v>RAV4 Hybrid</x:v>
      </x:c>
      <x:c r="D17" s="118" t="str">
        <x:v>2019</x:v>
      </x:c>
      <x:c r="E17" s="118" t="str">
        <x:v>LE target; Type C must be established</x:v>
      </x:c>
      <x:c r="F17" s="118" t="str">
        <x:v>Hybrid [OEM] S29</x:v>
      </x:c>
      <x:c r="G17" s="118" t="str">
        <x:v>910004</x:v>
      </x:c>
      <x:c r="H17" s="118" t="str">
        <x:v>Auxiliary 12 V</x:v>
      </x:c>
      <x:c r="I17" s="118" t="str">
        <x:v>OEM replacement requirements, Type C</x:v>
      </x:c>
      <x:c r="J17" s="118" t="str">
        <x:v>Vented calcium battery [OEM] S29 p.662</x:v>
      </x:c>
      <x:c r="K17" s="118" t="str">
        <x:v>00544-H5061-540 [OEM] conditional service candidate, S21 + S24</x:v>
      </x:c>
      <x:c r="L17" s="118" t="str">
        <x:v>Not publicly verified</x:v>
      </x:c>
      <x:c r="M17" s="118" t="str">
        <x:v>LN2 / H5 [OEM] S29/S21</x:v>
      </x:c>
      <x:c r="N17" s="118" t="n">
        <x:v>12</x:v>
      </x:c>
      <x:c r="O17" s="118" t="n">
        <x:v>55</x:v>
      </x:c>
      <x:c r="P17" s="118" t="n">
        <x:v>345</x:v>
      </x:c>
      <x:c r="Q17" s="118" t="str">
        <x:v>Not publicly verified</x:v>
      </x:c>
      <x:c r="R17" s="118" t="str">
        <x:v>Not publicly verified</x:v>
      </x:c>
      <x:c r="S17" s="118" t="str">
        <x:v>Not publicly verified</x:v>
      </x:c>
      <x:c r="T17" s="118" t="str">
        <x:v>Slow charge: 5 A maximum [OEM] S29 p.674</x:v>
      </x:c>
      <x:c r="U17" s="118" t="str">
        <x:v>Quick charge: 15 A maximum [OEM] S29 p.674</x:v>
      </x:c>
      <x:c r="V17" s="118" t="str">
        <x:v>Not publicly verified</x:v>
      </x:c>
      <x:c r="W17" s="118" t="str">
        <x:v>Not publicly verified</x:v>
      </x:c>
      <x:c r="X17" s="118" t="str">
        <x:v>Not publicly verified</x:v>
      </x:c>
      <x:c r="Y17" s="118" t="str">
        <x:v>Not publicly verified</x:v>
      </x:c>
      <x:c r="Z17" s="118" t="str">
        <x:v>Not publicly verified</x:v>
      </x:c>
      <x:c r="AA17" s="118" t="str">
        <x:v>Not publicly verified</x:v>
      </x:c>
      <x:c r="AB17" s="118" t="str">
        <x:v>Not publicly verified</x:v>
      </x:c>
      <x:c r="AC17" s="118" t="str">
        <x:v>Not publicly verified</x:v>
      </x:c>
      <x:c r="AD17" s="118" t="str">
        <x:v>Not publicly verified</x:v>
      </x:c>
      <x:c r="AE17" s="118" t="str">
        <x:v>Not publicly verified</x:v>
      </x:c>
      <x:c r="AF17" s="118" t="str">
        <x:v>Not publicly verified</x:v>
      </x:c>
      <x:c r="AG17" s="118" t="str">
        <x:v>Orientation Not publicly verified; preserve vent hose, exhaust plug and handle [OEM] S29 p.662</x:v>
      </x:c>
      <x:c r="AH17" s="118" t="str">
        <x:v>N/A - low-voltage battery</x:v>
      </x:c>
      <x:c r="AI17" s="118" t="str">
        <x:v>N/A - low-voltage battery</x:v>
      </x:c>
      <x:c r="AJ17" s="118" t="str">
        <x:v>N/A - low-voltage battery</x:v>
      </x:c>
      <x:c r="AK17" s="118" t="str">
        <x:v>N/A - low-voltage battery</x:v>
      </x:c>
      <x:c r="AL17" s="118" t="str">
        <x:v>N/A - low-voltage battery</x:v>
      </x:c>
      <x:c r="AM17" s="118" t="str">
        <x:v>N/A - low-voltage battery</x:v>
      </x:c>
      <x:c r="AN17" s="118" t="str">
        <x:v>N/A - low-voltage battery</x:v>
      </x:c>
      <x:c r="AO17" s="118" t="str">
        <x:v>N/A - low-voltage battery</x:v>
      </x:c>
      <x:c r="AP17" s="118" t="str">
        <x:v>N/A - low-voltage battery</x:v>
      </x:c>
      <x:c r="AQ17" s="118" t="str">
        <x:v>N/A - low-voltage battery</x:v>
      </x:c>
      <x:c r="AR17" s="118" t="str">
        <x:v>N/A - low-voltage battery</x:v>
      </x:c>
      <x:c r="AS17" s="118" t="str">
        <x:v>N/A - low-voltage battery</x:v>
      </x:c>
      <x:c r="AT17" s="118" t="str">
        <x:v>N/A - low-voltage battery</x:v>
      </x:c>
      <x:c r="AU17" s="118" t="str">
        <x:v>N/A - low-voltage battery</x:v>
      </x:c>
      <x:c r="AV17" s="118" t="str">
        <x:v>Not publicly verified</x:v>
      </x:c>
      <x:c r="AW17" s="118" t="str">
        <x:v>Match the previously installed case. LE trim alone does not identify A/B/C. O and P are minimum replacement requirements, not TrueStart product ratings. HV remains excluded.</x:v>
      </x:c>
      <x:c r="AX17" s="111" t="str">
        <x:v>https://assets.sia.toyota.com/publications/en/om-s/OM0R010U/pdf/OM0R010U.pdf
https://www.toyotapartsandservice.com/wp-content/uploads/2024/10/03_Batteries2024_hi.pdf</x:v>
      </x:c>
      <x:c r="AY17" s="111" t="str">
        <x:v>N/O/P [OEM] S29 p.662; O minimum Ah at 20-hour rate; P minimum CCA. S21 gives service candidates; installed type, physical interfaces and product Ah must be confirmed. No type is assumed. Previous status detail: Conditional OEM requirement; installed type unresolved.</x:v>
      </x:c>
      <x:c r="AZ17" s="111" t="str">
        <x:v>Partially verified</x:v>
      </x:c>
      <x:c r="BA17" s="112" t="n">
        <x:v>46288</x:v>
      </x:c>
    </x:row>
    <x:row r="18" ht="52.79999923706055" hidden="0" customHeight="1">
      <x:c r="A18" s="144" t="str">
        <x:v>B-RAV-HV-001</x:v>
      </x:c>
      <x:c r="B18" s="144" t="str">
        <x:v>Toyota</x:v>
      </x:c>
      <x:c r="C18" s="144" t="str">
        <x:v>RAV4 Hybrid</x:v>
      </x:c>
      <x:c r="D18" s="144" t="str">
        <x:v>2019</x:v>
      </x:c>
      <x:c r="E18" s="144" t="str">
        <x:v>LE Hybrid</x:v>
      </x:c>
      <x:c r="F18" s="144" t="str">
        <x:v>Hybrid system [OEM] S29</x:v>
      </x:c>
      <x:c r="G18" s="144" t="str">
        <x:v>910004</x:v>
      </x:c>
      <x:c r="H18" s="144" t="str">
        <x:v>Traction (high-voltage)</x:v>
      </x:c>
      <x:c r="I18" s="144" t="str">
        <x:v>HV traction battery pack</x:v>
      </x:c>
      <x:c r="J18" s="144" t="str">
        <x:v>Nickel-metal hydride [OEM] S29 p.672</x:v>
      </x:c>
      <x:c r="K18" s="144" t="str">
        <x:v>Not publicly verified</x:v>
      </x:c>
      <x:c r="L18" s="144" t="str">
        <x:v>Not publicly verified</x:v>
      </x:c>
      <x:c r="M18" s="144" t="str">
        <x:v>Not publicly verified</x:v>
      </x:c>
      <x:c r="N18" s="145" t="n">
        <x:v>244.8</x:v>
      </x:c>
      <x:c r="O18" s="145" t="n">
        <x:v>6.5</x:v>
      </x:c>
      <x:c r="P18" s="144" t="str">
        <x:v>Not publicly verified</x:v>
      </x:c>
      <x:c r="Q18" s="144" t="str">
        <x:v>Not publicly verified</x:v>
      </x:c>
      <x:c r="R18" s="144" t="str">
        <x:v>Not publicly verified</x:v>
      </x:c>
      <x:c r="S18" s="144" t="str">
        <x:v>Not publicly verified</x:v>
      </x:c>
      <x:c r="T18" s="144" t="str">
        <x:v>Not publicly verified</x:v>
      </x:c>
      <x:c r="U18" s="144" t="str">
        <x:v>Not publicly verified</x:v>
      </x:c>
      <x:c r="V18" s="144" t="str">
        <x:v>Not publicly verified</x:v>
      </x:c>
      <x:c r="W18" s="144" t="str">
        <x:v>Not publicly verified</x:v>
      </x:c>
      <x:c r="X18" s="144" t="str">
        <x:v>Not publicly verified</x:v>
      </x:c>
      <x:c r="Y18" s="144" t="str">
        <x:v>Not publicly verified</x:v>
      </x:c>
      <x:c r="Z18" s="144" t="str">
        <x:v>Not publicly verified</x:v>
      </x:c>
      <x:c r="AA18" s="144" t="str">
        <x:v>Not publicly verified</x:v>
      </x:c>
      <x:c r="AB18" s="144" t="str">
        <x:v>Not publicly verified</x:v>
      </x:c>
      <x:c r="AC18" s="144" t="str">
        <x:v>Not publicly verified</x:v>
      </x:c>
      <x:c r="AD18" s="144" t="str">
        <x:v>Not publicly verified</x:v>
      </x:c>
      <x:c r="AE18" s="144" t="str">
        <x:v>Not publicly verified</x:v>
      </x:c>
      <x:c r="AF18" s="144" t="str">
        <x:v>Not publicly verified</x:v>
      </x:c>
      <x:c r="AG18" s="144" t="str">
        <x:v>Not publicly verified</x:v>
      </x:c>
      <x:c r="AH18" s="145" t="n">
        <x:v>244.8</x:v>
      </x:c>
      <x:c r="AI18" s="144" t="str">
        <x:v>Nickel-metal hydride [OEM] S29 p.672</x:v>
      </x:c>
      <x:c r="AJ18" s="144" t="str">
        <x:v>Not publicly verified</x:v>
      </x:c>
      <x:c r="AK18" s="144" t="str">
        <x:v>Not publicly verified</x:v>
      </x:c>
      <x:c r="AL18" s="144" t="str">
        <x:v>34 modules; 7.2 V/module [OEM] S29 p.672</x:v>
      </x:c>
      <x:c r="AM18" s="144" t="str">
        <x:v>Not publicly verified</x:v>
      </x:c>
      <x:c r="AN18" s="144" t="str">
        <x:v>Not publicly verified</x:v>
      </x:c>
      <x:c r="AO18" s="144" t="str">
        <x:v>Not publicly verified</x:v>
      </x:c>
      <x:c r="AP18" s="144" t="str">
        <x:v>Not publicly verified</x:v>
      </x:c>
      <x:c r="AQ18" s="144" t="str">
        <x:v>Not publicly verified</x:v>
      </x:c>
      <x:c r="AR18" s="144" t="str">
        <x:v>Not publicly verified</x:v>
      </x:c>
      <x:c r="AS18" s="144" t="str">
        <x:v>Not publicly verified</x:v>
      </x:c>
      <x:c r="AT18" s="144" t="str">
        <x:v>Not publicly verified</x:v>
      </x:c>
      <x:c r="AU18" s="144" t="str">
        <x:v>High-voltage system. Suppress consumer HV part recommendations; qualified hybrid-service personnel only. Do not use auxiliary-battery service instructions for the traction pack.</x:v>
      </x:c>
      <x:c r="AV18" s="144" t="str">
        <x:v>Not publicly verified</x:v>
      </x:c>
      <x:c r="AW18" s="144" t="str">
        <x:v>HV safety suppression required for vehicle 910004. This row identifies the traction system; no consumer replacement fitment is approved.</x:v>
      </x:c>
      <x:c r="AX18" s="144" t="str">
        <x:v>https://assets.sia.toyota.com/publications/en/om-s/OM0R010U/pdf/OM0R010U.pdf</x:v>
      </x:c>
      <x:c r="AY18" s="144" t="str">
        <x:v>[OEM] S29 p.672 visually checked: NiMH; 244.8 V overall; 6.5 Ah at 3-hour rate; 34 modules, 7.2 V each. N/AH voltage and O capacity are sourced numbers. Energy, usable energy, power, SOC limits, part number and other unspecified fields remain Not publicly verified. Record added to ensure HV coverage for 910004.</x:v>
      </x:c>
      <x:c r="AZ18" s="144" t="str">
        <x:v>Partially verified</x:v>
      </x:c>
      <x:c r="BA18" s="146" t="n">
        <x:v>46288</x:v>
      </x:c>
    </x:row>
  </x:sheetData>
  <x:mergeCells>
    <x:mergeCell ref="A1:BA1"/>
  </x:mergeCells>
  <x:conditionalFormatting sqref="AZ3:AZ18">
    <x:cfRule type="expression" dxfId="0" priority="1">
      <x:formula>AZ3="Verified"</x:formula>
    </x:cfRule>
    <x:cfRule type="expression" dxfId="1" priority="2">
      <x:formula>AZ3="Partially verified"</x:formula>
    </x:cfRule>
    <x:cfRule type="expression" dxfId="2" priority="3">
      <x:formula>AZ3="Conflicting sources"</x:formula>
    </x:cfRule>
    <x:cfRule type="expression" dxfId="3" priority="4">
      <x:formula>AZ3="Not publicly verified"</x:formula>
    </x:cfRule>
    <x:cfRule type="expression" dxfId="4" priority="5">
      <x:formula>AZ3="Pending"</x:formula>
    </x:cfRule>
  </x:conditionalFormatting>
  <x:dataValidations count="1">
    <x:dataValidation type="list" sqref="AZ3:AZ18">
      <x:formula1>"Verified,Partially verified,Conflicting sources,Not publicly verified,Pending"</x:formula1>
    </x:dataValidation>
  </x:dataValidations>
  <x:pageMargins left="0.7" right="0.7" top="0.75" bottom="0.75" header="0.3" footer="0.3"/>
  <x:legacyDrawing xmlns:r="http://schemas.openxmlformats.org/officeDocument/2006/relationships" r:id="R31cdd71ddaa74227"/>
</x:worksheet>
</file>

<file path=xl/worksheets/sheet6.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2" width="14" style="1" hidden="0" customWidth="1"/>
    <x:col min="3" max="3" width="15" style="1" hidden="0" customWidth="1"/>
    <x:col min="4" max="4" width="18" style="1" hidden="0" customWidth="1"/>
    <x:col min="5" max="5" width="22" style="1" hidden="0" customWidth="1"/>
    <x:col min="6" max="6" width="24" style="1" hidden="0" customWidth="1"/>
    <x:col min="7" max="7" width="26" style="1" hidden="0" customWidth="1"/>
    <x:col min="8" max="8" width="8" style="1" hidden="0" customWidth="1"/>
    <x:col min="9" max="9" width="21" style="1" hidden="0" customWidth="1"/>
    <x:col min="10" max="10" width="17" style="1" hidden="0" customWidth="1"/>
    <x:col min="11" max="11" width="14" style="1" hidden="0" customWidth="1"/>
    <x:col min="12" max="12" width="62" style="1" hidden="0" customWidth="1"/>
    <x:col min="13" max="14" width="16" style="1" hidden="0" customWidth="1"/>
    <x:col min="15" max="15" width="14" style="1" hidden="0" customWidth="1"/>
    <x:col min="16" max="16" width="18" style="1" hidden="0" customWidth="1"/>
    <x:col min="17" max="17" width="28" hidden="0" customWidth="1"/>
    <x:col min="18" max="18" width="60" hidden="0" customWidth="1"/>
    <x:col min="19" max="19" width="60" hidden="0" customWidth="1"/>
    <x:col min="20" max="20" width="14" hidden="0" customWidth="1"/>
  </x:cols>
  <x:sheetData>
    <x:row r="1" ht="30" hidden="0" customHeight="1">
      <x:c r="A1" s="46" t="s">
        <x:v>669</x:v>
      </x:c>
      <x:c r="B1" s="46" t="s">
        <x:v>670</x:v>
      </x:c>
      <x:c r="C1" s="46" t="s">
        <x:v>671</x:v>
      </x:c>
      <x:c r="D1" s="46" t="s">
        <x:v>672</x:v>
      </x:c>
      <x:c r="E1" s="46" t="s">
        <x:v>673</x:v>
      </x:c>
      <x:c r="F1" s="46" t="s">
        <x:v>674</x:v>
      </x:c>
      <x:c r="G1" s="46" t="s">
        <x:v>675</x:v>
      </x:c>
      <x:c r="H1" s="46" t="s">
        <x:v>676</x:v>
      </x:c>
      <x:c r="I1" s="46" t="s">
        <x:v>677</x:v>
      </x:c>
      <x:c r="J1" s="46" t="s">
        <x:v>678</x:v>
      </x:c>
      <x:c r="K1" s="46" t="s">
        <x:v>679</x:v>
      </x:c>
      <x:c r="L1" s="46" t="s">
        <x:v>680</x:v>
      </x:c>
      <x:c r="M1" s="46" t="s">
        <x:v>681</x:v>
      </x:c>
      <x:c r="N1" s="46" t="s">
        <x:v>682</x:v>
      </x:c>
      <x:c r="O1" s="46" t="s">
        <x:v>237</x:v>
      </x:c>
      <x:c r="P1" s="46" t="s">
        <x:v>683</x:v>
      </x:c>
      <x:c r="Q1"/>
      <x:c r="R1"/>
      <x:c r="S1"/>
      <x:c r="T1"/>
    </x:row>
    <x:row r="2" ht="15" hidden="0" customHeight="1">
      <x:c r="A2" s="47" t="s">
        <x:v>684</x:v>
      </x:c>
      <x:c r="B2" s="47" t="s">
        <x:v>685</x:v>
      </x:c>
      <x:c r="C2" s="48" t="s">
        <x:v>686</x:v>
      </x:c>
      <x:c r="D2" s="47" t="s">
        <x:v>687</x:v>
      </x:c>
      <x:c r="E2" s="47" t="s">
        <x:v>688</x:v>
      </x:c>
      <x:c r="F2" s="47" t="n">
        <x:v>5001</x:v>
      </x:c>
      <x:c r="G2" s="48" t="s">
        <x:v>689</x:v>
      </x:c>
      <x:c r="H2" s="49" t="b">
        <x:f aca="0">FALSE()</x:f>
        <x:v>0</x:v>
      </x:c>
      <x:c r="I2" s="47" t="s">
        <x:v>690</x:v>
      </x:c>
      <x:c r="J2" s="48" t="s">
        <x:v>691</x:v>
      </x:c>
      <x:c r="K2" s="48" t="n">
        <x:v>12</x:v>
      </x:c>
      <x:c r="L2" s="48" t="s">
        <x:v>692</x:v>
      </x:c>
      <x:c r="M2" s="48" t="n">
        <x:v>24</x:v>
      </x:c>
      <x:c r="N2" s="48" t="n">
        <x:v>65</x:v>
      </x:c>
      <x:c r="O2" s="126" t="n">
        <x:v>999</x:v>
      </x:c>
      <x:c r="P2" s="48" t="s">
        <x:v>693</x:v>
      </x:c>
    </x:row>
    <x:row r="3" ht="15" hidden="0" customHeight="1">
      <x:c r="A3" s="50" t="s">
        <x:v>694</x:v>
      </x:c>
      <x:c r="B3" s="50" t="s">
        <x:v>685</x:v>
      </x:c>
      <x:c r="C3" s="51" t="s">
        <x:v>686</x:v>
      </x:c>
      <x:c r="D3" s="50" t="s">
        <x:v>695</x:v>
      </x:c>
      <x:c r="E3" s="50" t="s">
        <x:v>696</x:v>
      </x:c>
      <x:c r="F3" s="50" t="n">
        <x:v>5001</x:v>
      </x:c>
      <x:c r="G3" s="51" t="s">
        <x:v>689</x:v>
      </x:c>
      <x:c r="H3" s="52" t="b">
        <x:f aca="0">FALSE()</x:f>
        <x:v>0</x:v>
      </x:c>
      <x:c r="I3" s="50" t="s">
        <x:v>697</x:v>
      </x:c>
      <x:c r="J3" s="51" t="s">
        <x:v>691</x:v>
      </x:c>
      <x:c r="K3" s="51" t="n">
        <x:v>12</x:v>
      </x:c>
      <x:c r="L3" s="51" t="s">
        <x:v>698</x:v>
      </x:c>
      <x:c r="M3" s="51" t="n">
        <x:v>24</x:v>
      </x:c>
      <x:c r="N3" s="51" t="n">
        <x:v>85</x:v>
      </x:c>
      <x:c r="O3" s="127" t="n">
        <x:v>999</x:v>
      </x:c>
      <x:c r="P3" s="51" t="s">
        <x:v>693</x:v>
      </x:c>
    </x:row>
    <x:row r="4" ht="15" hidden="0" customHeight="1">
      <x:c r="A4" s="47" t="s">
        <x:v>699</x:v>
      </x:c>
      <x:c r="B4" s="47" t="s">
        <x:v>685</x:v>
      </x:c>
      <x:c r="C4" s="48" t="s">
        <x:v>686</x:v>
      </x:c>
      <x:c r="D4" s="47" t="s">
        <x:v>700</x:v>
      </x:c>
      <x:c r="E4" s="47" t="s">
        <x:v>701</x:v>
      </x:c>
      <x:c r="F4" s="47" t="n">
        <x:v>5001</x:v>
      </x:c>
      <x:c r="G4" s="48" t="s">
        <x:v>689</x:v>
      </x:c>
      <x:c r="H4" s="49" t="b">
        <x:f aca="0">FALSE()</x:f>
        <x:v>0</x:v>
      </x:c>
      <x:c r="I4" s="47" t="s">
        <x:v>702</x:v>
      </x:c>
      <x:c r="J4" s="48" t="s">
        <x:v>703</x:v>
      </x:c>
      <x:c r="K4" s="48" t="n">
        <x:v>12</x:v>
      </x:c>
      <x:c r="L4" s="48" t="s">
        <x:v>704</x:v>
      </x:c>
      <x:c r="M4" s="48" t="n">
        <x:v>12</x:v>
      </x:c>
      <x:c r="N4" s="48" t="n">
        <x:v>85</x:v>
      </x:c>
      <x:c r="O4" s="126" t="n">
        <x:v>999</x:v>
      </x:c>
      <x:c r="P4" s="48" t="s">
        <x:v>693</x:v>
      </x:c>
    </x:row>
    <x:row r="5" ht="15" hidden="0" customHeight="1">
      <x:c r="A5" s="50" t="s">
        <x:v>705</x:v>
      </x:c>
      <x:c r="B5" s="50" t="s">
        <x:v>706</x:v>
      </x:c>
      <x:c r="C5" s="51" t="s">
        <x:v>707</x:v>
      </x:c>
      <x:c r="D5" s="50" t="s">
        <x:v>708</x:v>
      </x:c>
      <x:c r="E5" s="50" t="s">
        <x:v>709</x:v>
      </x:c>
      <x:c r="F5" s="50" t="n">
        <x:v>5001</x:v>
      </x:c>
      <x:c r="G5" s="51" t="s">
        <x:v>689</x:v>
      </x:c>
      <x:c r="H5" s="52" t="b">
        <x:f aca="0">FALSE()</x:f>
        <x:v>0</x:v>
      </x:c>
      <x:c r="I5" s="50" t="s">
        <x:v>697</x:v>
      </x:c>
      <x:c r="J5" s="51" t="s">
        <x:v>691</x:v>
      </x:c>
      <x:c r="K5" s="51" t="n">
        <x:v>12</x:v>
      </x:c>
      <x:c r="L5" s="51" t="s">
        <x:v>704</x:v>
      </x:c>
      <x:c r="M5" s="51" t="n">
        <x:v>24</x:v>
      </x:c>
      <x:c r="N5" s="51" t="n">
        <x:v>85</x:v>
      </x:c>
      <x:c r="O5" s="127" t="n">
        <x:v>999</x:v>
      </x:c>
      <x:c r="P5" s="51" t="s">
        <x:v>693</x:v>
      </x:c>
    </x:row>
    <x:row r="6" ht="15" hidden="0" customHeight="1">
      <x:c r="A6" s="47" t="s">
        <x:v>710</x:v>
      </x:c>
      <x:c r="B6" s="47" t="s">
        <x:v>685</x:v>
      </x:c>
      <x:c r="C6" s="48" t="s">
        <x:v>686</x:v>
      </x:c>
      <x:c r="D6" s="53" t="s">
        <x:v>711</x:v>
      </x:c>
      <x:c r="E6" s="47" t="s">
        <x:v>712</x:v>
      </x:c>
      <x:c r="F6" s="47" t="n">
        <x:v>5010</x:v>
      </x:c>
      <x:c r="G6" s="48" t="s">
        <x:v>713</x:v>
      </x:c>
      <x:c r="H6" s="49" t="b">
        <x:f aca="0">FALSE()</x:f>
        <x:v>0</x:v>
      </x:c>
      <x:c r="I6" s="47"/>
      <x:c r="J6" s="48" t="s">
        <x:v>691</x:v>
      </x:c>
      <x:c r="K6" s="48" t="n">
        <x:v>12</x:v>
      </x:c>
      <x:c r="L6" s="48" t="s">
        <x:v>714</x:v>
      </x:c>
      <x:c r="M6" s="48" t="n">
        <x:v>36</x:v>
      </x:c>
      <x:c r="N6" s="48" t="n">
        <x:v>22</x:v>
      </x:c>
      <x:c r="O6" s="126" t="n">
        <x:v>999</x:v>
      </x:c>
      <x:c r="P6" s="48" t="s">
        <x:v>693</x:v>
      </x:c>
    </x:row>
    <x:row r="7" ht="15" hidden="0" customHeight="1">
      <x:c r="A7" s="50" t="s">
        <x:v>715</x:v>
      </x:c>
      <x:c r="B7" s="50" t="s">
        <x:v>685</x:v>
      </x:c>
      <x:c r="C7" s="51" t="s">
        <x:v>686</x:v>
      </x:c>
      <x:c r="D7" s="54" t="s">
        <x:v>716</x:v>
      </x:c>
      <x:c r="E7" s="50" t="s">
        <x:v>717</x:v>
      </x:c>
      <x:c r="F7" s="50" t="n">
        <x:v>5010</x:v>
      </x:c>
      <x:c r="G7" s="51" t="s">
        <x:v>713</x:v>
      </x:c>
      <x:c r="H7" s="52" t="b">
        <x:f aca="0">FALSE()</x:f>
        <x:v>0</x:v>
      </x:c>
      <x:c r="I7" s="50"/>
      <x:c r="J7" s="51" t="s">
        <x:v>691</x:v>
      </x:c>
      <x:c r="K7" s="51" t="n">
        <x:v>12</x:v>
      </x:c>
      <x:c r="L7" s="51" t="s">
        <x:v>718</x:v>
      </x:c>
      <x:c r="M7" s="51" t="n">
        <x:v>36</x:v>
      </x:c>
      <x:c r="N7" s="51" t="n">
        <x:v>22</x:v>
      </x:c>
      <x:c r="O7" s="127" t="n">
        <x:v>999</x:v>
      </x:c>
      <x:c r="P7" s="51" t="s">
        <x:v>693</x:v>
      </x:c>
    </x:row>
    <x:row r="8" ht="15" hidden="0" customHeight="1">
      <x:c r="A8" s="47" t="s">
        <x:v>719</x:v>
      </x:c>
      <x:c r="B8" s="47" t="s">
        <x:v>685</x:v>
      </x:c>
      <x:c r="C8" s="48" t="s">
        <x:v>686</x:v>
      </x:c>
      <x:c r="D8" s="47" t="s">
        <x:v>720</x:v>
      </x:c>
      <x:c r="E8" s="47" t="s">
        <x:v>721</x:v>
      </x:c>
      <x:c r="F8" s="47" t="n">
        <x:v>5010</x:v>
      </x:c>
      <x:c r="G8" s="48" t="s">
        <x:v>713</x:v>
      </x:c>
      <x:c r="H8" s="49" t="b">
        <x:f aca="0">FALSE()</x:f>
        <x:v>0</x:v>
      </x:c>
      <x:c r="I8" s="47"/>
      <x:c r="J8" s="48" t="s">
        <x:v>691</x:v>
      </x:c>
      <x:c r="K8" s="48" t="n">
        <x:v>12</x:v>
      </x:c>
      <x:c r="L8" s="48" t="s">
        <x:v>722</x:v>
      </x:c>
      <x:c r="M8" s="48" t="n">
        <x:v>48</x:v>
      </x:c>
      <x:c r="N8" s="48" t="n">
        <x:v>22</x:v>
      </x:c>
      <x:c r="O8" s="126" t="n">
        <x:v>999</x:v>
      </x:c>
      <x:c r="P8" s="48" t="s">
        <x:v>693</x:v>
      </x:c>
    </x:row>
    <x:row r="9" ht="15" hidden="0" customHeight="1">
      <x:c r="A9" s="50" t="s">
        <x:v>723</x:v>
      </x:c>
      <x:c r="B9" s="50" t="s">
        <x:v>685</x:v>
      </x:c>
      <x:c r="C9" s="51" t="s">
        <x:v>686</x:v>
      </x:c>
      <x:c r="D9" s="50" t="s">
        <x:v>724</x:v>
      </x:c>
      <x:c r="E9" s="50" t="s">
        <x:v>725</x:v>
      </x:c>
      <x:c r="F9" s="50" t="n">
        <x:v>5020</x:v>
      </x:c>
      <x:c r="G9" s="51" t="s">
        <x:v>726</x:v>
      </x:c>
      <x:c r="H9" s="52" t="b">
        <x:f aca="0">FALSE()</x:f>
        <x:v>0</x:v>
      </x:c>
      <x:c r="I9" s="50"/>
      <x:c r="J9" s="51" t="s">
        <x:v>703</x:v>
      </x:c>
      <x:c r="K9" s="51" t="n">
        <x:v>12</x:v>
      </x:c>
      <x:c r="L9" s="51" t="s">
        <x:v>727</x:v>
      </x:c>
      <x:c r="M9" s="51" t="n">
        <x:v>12</x:v>
      </x:c>
      <x:c r="N9" s="51" t="n">
        <x:v>45</x:v>
      </x:c>
      <x:c r="O9" s="127" t="n">
        <x:v>999</x:v>
      </x:c>
      <x:c r="P9" s="51" t="s">
        <x:v>693</x:v>
      </x:c>
    </x:row>
    <x:row r="10" ht="15" hidden="0" customHeight="1">
      <x:c r="A10" s="47" t="s">
        <x:v>728</x:v>
      </x:c>
      <x:c r="B10" s="47" t="s">
        <x:v>685</x:v>
      </x:c>
      <x:c r="C10" s="48" t="s">
        <x:v>686</x:v>
      </x:c>
      <x:c r="D10" s="47" t="s">
        <x:v>729</x:v>
      </x:c>
      <x:c r="E10" s="47" t="s">
        <x:v>730</x:v>
      </x:c>
      <x:c r="F10" s="47" t="n">
        <x:v>5031</x:v>
      </x:c>
      <x:c r="G10" s="48" t="s">
        <x:v>731</x:v>
      </x:c>
      <x:c r="H10" s="49" t="b">
        <x:f aca="0">FALSE()</x:f>
        <x:v>0</x:v>
      </x:c>
      <x:c r="I10" s="47"/>
      <x:c r="J10" s="48" t="s">
        <x:v>691</x:v>
      </x:c>
      <x:c r="K10" s="48" t="n">
        <x:v>12</x:v>
      </x:c>
      <x:c r="L10" s="48" t="s">
        <x:v>732</x:v>
      </x:c>
      <x:c r="M10" s="48" t="n">
        <x:v>0</x:v>
      </x:c>
      <x:c r="N10" s="48" t="n">
        <x:v>0</x:v>
      </x:c>
      <x:c r="O10" s="126" t="n">
        <x:v>999</x:v>
      </x:c>
      <x:c r="P10" s="48" t="s">
        <x:v>693</x:v>
      </x:c>
    </x:row>
    <x:row r="11" ht="15" hidden="0" customHeight="1">
      <x:c r="A11" s="50" t="s">
        <x:v>733</x:v>
      </x:c>
      <x:c r="B11" s="50" t="s">
        <x:v>685</x:v>
      </x:c>
      <x:c r="C11" s="51" t="s">
        <x:v>686</x:v>
      </x:c>
      <x:c r="D11" s="50" t="s">
        <x:v>734</x:v>
      </x:c>
      <x:c r="E11" s="50" t="s">
        <x:v>735</x:v>
      </x:c>
      <x:c r="F11" s="50" t="n">
        <x:v>5031</x:v>
      </x:c>
      <x:c r="G11" s="51" t="s">
        <x:v>731</x:v>
      </x:c>
      <x:c r="H11" s="52" t="b">
        <x:f aca="0">FALSE()</x:f>
        <x:v>0</x:v>
      </x:c>
      <x:c r="I11" s="50"/>
      <x:c r="J11" s="51" t="s">
        <x:v>691</x:v>
      </x:c>
      <x:c r="K11" s="51" t="n">
        <x:v>12</x:v>
      </x:c>
      <x:c r="L11" s="51" t="s">
        <x:v>736</x:v>
      </x:c>
      <x:c r="M11" s="51" t="n">
        <x:v>0</x:v>
      </x:c>
      <x:c r="N11" s="51" t="n">
        <x:v>0</x:v>
      </x:c>
      <x:c r="O11" s="127" t="n">
        <x:v>999</x:v>
      </x:c>
      <x:c r="P11" s="51" t="s">
        <x:v>693</x:v>
      </x:c>
    </x:row>
    <x:row r="12" ht="15" hidden="0" customHeight="1">
      <x:c r="A12" s="47" t="s">
        <x:v>737</x:v>
      </x:c>
      <x:c r="B12" s="47" t="s">
        <x:v>685</x:v>
      </x:c>
      <x:c r="C12" s="48" t="s">
        <x:v>686</x:v>
      </x:c>
      <x:c r="D12" s="47" t="s">
        <x:v>738</x:v>
      </x:c>
      <x:c r="E12" s="47" t="s">
        <x:v>739</x:v>
      </x:c>
      <x:c r="F12" s="47" t="n">
        <x:v>5032</x:v>
      </x:c>
      <x:c r="G12" s="48" t="s">
        <x:v>740</x:v>
      </x:c>
      <x:c r="H12" s="49" t="b">
        <x:f aca="0">FALSE()</x:f>
        <x:v>0</x:v>
      </x:c>
      <x:c r="I12" s="47"/>
      <x:c r="J12" s="48" t="s">
        <x:v>691</x:v>
      </x:c>
      <x:c r="K12" s="48" t="n">
        <x:v>12</x:v>
      </x:c>
      <x:c r="L12" s="48" t="s">
        <x:v>741</x:v>
      </x:c>
      <x:c r="M12" s="48" t="n">
        <x:v>12</x:v>
      </x:c>
      <x:c r="N12" s="48" t="n">
        <x:v>0</x:v>
      </x:c>
      <x:c r="O12" s="126" t="n">
        <x:v>999</x:v>
      </x:c>
      <x:c r="P12" s="48" t="s">
        <x:v>693</x:v>
      </x:c>
    </x:row>
    <x:row r="13" ht="15" hidden="0" customHeight="1">
      <x:c r="A13" s="50" t="s">
        <x:v>742</x:v>
      </x:c>
      <x:c r="B13" s="50" t="s">
        <x:v>685</x:v>
      </x:c>
      <x:c r="C13" s="51" t="s">
        <x:v>686</x:v>
      </x:c>
      <x:c r="D13" s="50" t="s">
        <x:v>743</x:v>
      </x:c>
      <x:c r="E13" s="50" t="s">
        <x:v>744</x:v>
      </x:c>
      <x:c r="F13" s="50" t="n">
        <x:v>5040</x:v>
      </x:c>
      <x:c r="G13" s="51" t="s">
        <x:v>745</x:v>
      </x:c>
      <x:c r="H13" s="52" t="b">
        <x:f aca="0">FALSE()</x:f>
        <x:v>0</x:v>
      </x:c>
      <x:c r="I13" s="50"/>
      <x:c r="J13" s="51" t="s">
        <x:v>691</x:v>
      </x:c>
      <x:c r="K13" s="51" t="n">
        <x:v>12</x:v>
      </x:c>
      <x:c r="L13" s="51" t="s">
        <x:v>746</x:v>
      </x:c>
      <x:c r="M13" s="51" t="n">
        <x:v>24</x:v>
      </x:c>
      <x:c r="N13" s="51" t="n">
        <x:v>0</x:v>
      </x:c>
      <x:c r="O13" s="127" t="n">
        <x:v>999</x:v>
      </x:c>
      <x:c r="P13" s="51" t="s">
        <x:v>693</x:v>
      </x:c>
    </x:row>
    <x:row r="14" ht="15" hidden="0" customHeight="1">
      <x:c r="A14" s="47" t="s">
        <x:v>747</x:v>
      </x:c>
      <x:c r="B14" s="47" t="s">
        <x:v>685</x:v>
      </x:c>
      <x:c r="C14" s="48" t="s">
        <x:v>686</x:v>
      </x:c>
      <x:c r="D14" s="47" t="s">
        <x:v>748</x:v>
      </x:c>
      <x:c r="E14" s="47" t="s">
        <x:v>749</x:v>
      </x:c>
      <x:c r="F14" s="47" t="n">
        <x:v>5041</x:v>
      </x:c>
      <x:c r="G14" s="48" t="s">
        <x:v>750</x:v>
      </x:c>
      <x:c r="H14" s="49" t="b">
        <x:f aca="0">FALSE()</x:f>
        <x:v>0</x:v>
      </x:c>
      <x:c r="I14" s="47"/>
      <x:c r="J14" s="48" t="s">
        <x:v>691</x:v>
      </x:c>
      <x:c r="K14" s="48" t="n">
        <x:v>12</x:v>
      </x:c>
      <x:c r="L14" s="48" t="s">
        <x:v>751</x:v>
      </x:c>
      <x:c r="M14" s="48" t="n">
        <x:v>24</x:v>
      </x:c>
      <x:c r="N14" s="48" t="n">
        <x:v>0</x:v>
      </x:c>
      <x:c r="O14" s="126" t="n">
        <x:v>999</x:v>
      </x:c>
      <x:c r="P14" s="48" t="s">
        <x:v>693</x:v>
      </x:c>
    </x:row>
    <x:row r="15" ht="15" hidden="0" customHeight="1">
      <x:c r="A15" s="50" t="s">
        <x:v>752</x:v>
      </x:c>
      <x:c r="B15" s="50" t="s">
        <x:v>685</x:v>
      </x:c>
      <x:c r="C15" s="51" t="s">
        <x:v>686</x:v>
      </x:c>
      <x:c r="D15" s="50" t="s">
        <x:v>753</x:v>
      </x:c>
      <x:c r="E15" s="50" t="s">
        <x:v>754</x:v>
      </x:c>
      <x:c r="F15" s="50" t="n">
        <x:v>5042</x:v>
      </x:c>
      <x:c r="G15" s="51" t="s">
        <x:v>755</x:v>
      </x:c>
      <x:c r="H15" s="52" t="b">
        <x:f aca="0">FALSE()</x:f>
        <x:v>0</x:v>
      </x:c>
      <x:c r="I15" s="50"/>
      <x:c r="J15" s="51" t="s">
        <x:v>691</x:v>
      </x:c>
      <x:c r="K15" s="51" t="n">
        <x:v>12</x:v>
      </x:c>
      <x:c r="L15" s="51" t="s">
        <x:v>756</x:v>
      </x:c>
      <x:c r="M15" s="51" t="n">
        <x:v>24</x:v>
      </x:c>
      <x:c r="N15" s="51" t="n">
        <x:v>0</x:v>
      </x:c>
      <x:c r="O15" s="127" t="n">
        <x:v>999</x:v>
      </x:c>
      <x:c r="P15" s="51" t="s">
        <x:v>693</x:v>
      </x:c>
    </x:row>
    <x:row r="16" ht="15" hidden="0" customHeight="1">
      <x:c r="A16" s="47" t="s">
        <x:v>757</x:v>
      </x:c>
      <x:c r="B16" s="47" t="s">
        <x:v>685</x:v>
      </x:c>
      <x:c r="C16" s="48" t="s">
        <x:v>686</x:v>
      </x:c>
      <x:c r="D16" s="47" t="s">
        <x:v>758</x:v>
      </x:c>
      <x:c r="E16" s="47" t="s">
        <x:v>759</x:v>
      </x:c>
      <x:c r="F16" s="47" t="n">
        <x:v>5050</x:v>
      </x:c>
      <x:c r="G16" s="48" t="s">
        <x:v>760</x:v>
      </x:c>
      <x:c r="H16" s="49" t="b">
        <x:f aca="0">FALSE()</x:f>
        <x:v>0</x:v>
      </x:c>
      <x:c r="I16" s="47"/>
      <x:c r="J16" s="48" t="s">
        <x:v>691</x:v>
      </x:c>
      <x:c r="K16" s="48" t="n">
        <x:v>12</x:v>
      </x:c>
      <x:c r="L16" s="48" t="s">
        <x:v>761</x:v>
      </x:c>
      <x:c r="M16" s="48" t="n">
        <x:v>12</x:v>
      </x:c>
      <x:c r="N16" s="48" t="n">
        <x:v>0</x:v>
      </x:c>
      <x:c r="O16" s="126" t="n">
        <x:v>999</x:v>
      </x:c>
      <x:c r="P16" s="48" t="s">
        <x:v>693</x:v>
      </x:c>
    </x:row>
    <x:row r="17" ht="15" hidden="0" customHeight="1">
      <x:c r="A17" s="50" t="s">
        <x:v>762</x:v>
      </x:c>
      <x:c r="B17" s="50" t="s">
        <x:v>706</x:v>
      </x:c>
      <x:c r="C17" s="51" t="s">
        <x:v>707</x:v>
      </x:c>
      <x:c r="D17" s="50" t="s">
        <x:v>763</x:v>
      </x:c>
      <x:c r="E17" s="50" t="s">
        <x:v>764</x:v>
      </x:c>
      <x:c r="F17" s="50" t="n">
        <x:v>5050</x:v>
      </x:c>
      <x:c r="G17" s="51" t="s">
        <x:v>760</x:v>
      </x:c>
      <x:c r="H17" s="52" t="b">
        <x:f aca="0">FALSE()</x:f>
        <x:v>0</x:v>
      </x:c>
      <x:c r="I17" s="50"/>
      <x:c r="J17" s="51" t="s">
        <x:v>691</x:v>
      </x:c>
      <x:c r="K17" s="51" t="n">
        <x:v>12</x:v>
      </x:c>
      <x:c r="L17" s="51" t="s">
        <x:v>765</x:v>
      </x:c>
      <x:c r="M17" s="51" t="n">
        <x:v>24</x:v>
      </x:c>
      <x:c r="N17" s="51" t="n">
        <x:v>0</x:v>
      </x:c>
      <x:c r="O17" s="127" t="n">
        <x:v>999</x:v>
      </x:c>
      <x:c r="P17" s="51" t="s">
        <x:v>693</x:v>
      </x:c>
    </x:row>
    <x:row r="18" ht="15" hidden="0" customHeight="1">
      <x:c r="A18" s="47" t="s">
        <x:v>766</x:v>
      </x:c>
      <x:c r="B18" s="47" t="s">
        <x:v>685</x:v>
      </x:c>
      <x:c r="C18" s="48" t="s">
        <x:v>686</x:v>
      </x:c>
      <x:c r="D18" s="47" t="s">
        <x:v>767</x:v>
      </x:c>
      <x:c r="E18" s="47" t="s">
        <x:v>768</x:v>
      </x:c>
      <x:c r="F18" s="47" t="n">
        <x:v>5011</x:v>
      </x:c>
      <x:c r="G18" s="48" t="s">
        <x:v>769</x:v>
      </x:c>
      <x:c r="H18" s="49" t="b">
        <x:f aca="0">FALSE()</x:f>
        <x:v>0</x:v>
      </x:c>
      <x:c r="I18" s="47"/>
      <x:c r="J18" s="48" t="s">
        <x:v>691</x:v>
      </x:c>
      <x:c r="K18" s="48" t="n">
        <x:v>12</x:v>
      </x:c>
      <x:c r="L18" s="48" t="s">
        <x:v>770</x:v>
      </x:c>
      <x:c r="M18" s="48" t="n">
        <x:v>12</x:v>
      </x:c>
      <x:c r="N18" s="48" t="n">
        <x:v>0</x:v>
      </x:c>
      <x:c r="O18" s="126" t="n">
        <x:v>999</x:v>
      </x:c>
      <x:c r="P18" s="48" t="s">
        <x:v>693</x:v>
      </x:c>
    </x:row>
    <x:row r="19" ht="15" hidden="0" customHeight="1">
      <x:c r="A19" s="50" t="s">
        <x:v>771</x:v>
      </x:c>
      <x:c r="B19" s="50" t="s">
        <x:v>685</x:v>
      </x:c>
      <x:c r="C19" s="51" t="s">
        <x:v>686</x:v>
      </x:c>
      <x:c r="D19" s="50" t="s">
        <x:v>772</x:v>
      </x:c>
      <x:c r="E19" s="50" t="s">
        <x:v>773</x:v>
      </x:c>
      <x:c r="F19" s="50" t="n">
        <x:v>5060</x:v>
      </x:c>
      <x:c r="G19" s="51" t="s">
        <x:v>774</x:v>
      </x:c>
      <x:c r="H19" s="52" t="b">
        <x:f aca="0">FALSE()</x:f>
        <x:v>0</x:v>
      </x:c>
      <x:c r="I19" s="50"/>
      <x:c r="J19" s="51" t="s">
        <x:v>691</x:v>
      </x:c>
      <x:c r="K19" s="51" t="n">
        <x:v>12</x:v>
      </x:c>
      <x:c r="L19" s="51" t="s">
        <x:v>775</x:v>
      </x:c>
      <x:c r="M19" s="51" t="n">
        <x:v>24</x:v>
      </x:c>
      <x:c r="N19" s="51" t="n">
        <x:v>0</x:v>
      </x:c>
      <x:c r="O19" s="127" t="n">
        <x:v>999</x:v>
      </x:c>
      <x:c r="P19" s="51" t="s">
        <x:v>693</x:v>
      </x:c>
    </x:row>
    <x:row r="20" ht="39.599998474121094" hidden="0" customHeight="1">
      <x:c r="A20"/>
      <x:c r="B20"/>
      <x:c r="C20"/>
      <x:c r="D20"/>
      <x:c r="E20"/>
      <x:c r="F20"/>
      <x:c r="G20"/>
      <x:c r="H20"/>
      <x:c r="I20"/>
      <x:c r="J20"/>
      <x:c r="K20"/>
      <x:c r="L20"/>
      <x:c r="M20"/>
      <x:c r="N20"/>
      <x:c r="O20"/>
      <x:c r="P20"/>
      <x:c r="Q20"/>
      <x:c r="R20"/>
      <x:c r="S20"/>
      <x:c r="T20"/>
    </x:row>
    <x:row r="21" ht="39.599998474121094" hidden="0" customHeight="1">
      <x:c r="A21"/>
      <x:c r="B21"/>
      <x:c r="C21"/>
      <x:c r="D21"/>
      <x:c r="E21"/>
      <x:c r="F21"/>
      <x:c r="G21"/>
      <x:c r="H21"/>
      <x:c r="I21"/>
      <x:c r="J21"/>
      <x:c r="K21"/>
      <x:c r="L21"/>
      <x:c r="M21"/>
      <x:c r="N21"/>
      <x:c r="O21"/>
      <x:c r="P21"/>
      <x:c r="Q21"/>
      <x:c r="R21"/>
      <x:c r="S21"/>
      <x:c r="T21"/>
    </x:row>
    <x:row r="22" ht="39.599998474121094" hidden="0" customHeight="1">
      <x:c r="A22"/>
      <x:c r="B22"/>
      <x:c r="C22"/>
      <x:c r="D22"/>
      <x:c r="E22"/>
      <x:c r="F22"/>
      <x:c r="G22"/>
      <x:c r="H22"/>
      <x:c r="I22"/>
      <x:c r="J22"/>
      <x:c r="K22"/>
      <x:c r="L22"/>
      <x:c r="M22"/>
      <x:c r="N22"/>
      <x:c r="O22"/>
      <x:c r="P22"/>
      <x:c r="Q22"/>
      <x:c r="R22"/>
      <x:c r="S22"/>
      <x:c r="T22"/>
    </x:row>
    <x:row r="23" ht="52.79999923706055" hidden="0" customHeight="1">
      <x:c r="A23"/>
      <x:c r="B23"/>
      <x:c r="C23"/>
      <x:c r="D23"/>
      <x:c r="E23"/>
      <x:c r="F23"/>
      <x:c r="G23"/>
      <x:c r="H23"/>
      <x:c r="I23"/>
      <x:c r="J23"/>
      <x:c r="K23"/>
      <x:c r="L23"/>
      <x:c r="M23"/>
      <x:c r="N23"/>
      <x:c r="O23"/>
      <x:c r="P23"/>
      <x:c r="Q23"/>
      <x:c r="R23"/>
      <x:c r="S23"/>
      <x:c r="T23"/>
    </x:row>
    <x:row r="24" ht="26.399999618530273" hidden="0" customHeight="1">
      <x:c r="A24"/>
      <x:c r="B24"/>
      <x:c r="C24"/>
      <x:c r="D24"/>
      <x:c r="E24"/>
      <x:c r="F24"/>
      <x:c r="G24"/>
      <x:c r="H24"/>
      <x:c r="I24"/>
      <x:c r="J24"/>
      <x:c r="K24"/>
      <x:c r="L24"/>
      <x:c r="M24"/>
      <x:c r="N24"/>
      <x:c r="O24"/>
      <x:c r="P24"/>
      <x:c r="Q24"/>
      <x:c r="R24"/>
      <x:c r="S24"/>
      <x:c r="T24"/>
    </x:row>
    <x:row r="25" ht="26.399999618530273" hidden="0" customHeight="1">
      <x:c r="A25"/>
      <x:c r="B25"/>
      <x:c r="C25"/>
      <x:c r="D25"/>
      <x:c r="E25"/>
      <x:c r="F25"/>
      <x:c r="G25"/>
      <x:c r="H25"/>
      <x:c r="I25"/>
      <x:c r="J25"/>
      <x:c r="K25"/>
      <x:c r="L25"/>
      <x:c r="M25"/>
      <x:c r="N25"/>
      <x:c r="O25"/>
      <x:c r="P25"/>
      <x:c r="Q25"/>
      <x:c r="R25"/>
      <x:c r="S25"/>
      <x:c r="T25"/>
    </x:row>
    <x:row r="26" ht="26.399999618530273" hidden="0" customHeight="1">
      <x:c r="A26"/>
      <x:c r="B26"/>
      <x:c r="C26"/>
      <x:c r="D26"/>
      <x:c r="E26"/>
      <x:c r="F26"/>
      <x:c r="G26"/>
      <x:c r="H26"/>
      <x:c r="I26"/>
      <x:c r="J26"/>
      <x:c r="K26"/>
      <x:c r="L26"/>
      <x:c r="M26"/>
      <x:c r="N26"/>
      <x:c r="O26"/>
      <x:c r="P26"/>
      <x:c r="Q26"/>
      <x:c r="R26"/>
      <x:c r="S26"/>
      <x:c r="T26"/>
    </x:row>
  </x:sheetData>
  <x:dataValidations count="2">
    <x:dataValidation type="list" errorStyle="stop" operator="between" allowBlank="0" showDropDown="0" showInputMessage="0" showErrorMessage="0" sqref="J2:J19">
      <x:formula1>"NEW,REMANUFACTURED,USED,REFURBISHED"</x:formula1>
      <x:formula2>0</x:formula2>
    </x:dataValidation>
    <x:dataValidation type="list" errorStyle="stop" operator="between" allowBlank="0" showDropDown="0" showInputMessage="0" showErrorMessage="0" sqref="P2:P19">
      <x:formula1>"OEM_PUBLISHED,BRAND_ACES,DISTRIBUTOR,CURATED,CROWD"</x:formula1>
      <x:formula2>0</x:formula2>
    </x:dataValidation>
  </x:dataValidations>
  <x:pageMargins left="0.7" right="0.7" top="0.75" bottom="0.75" header="0.3" footer="0.3"/>
  <x:legacyDrawing xmlns:r="http://schemas.openxmlformats.org/officeDocument/2006/relationships" r:id="R7cda0c67730c4b81"/>
</x:worksheet>
</file>

<file path=xl/worksheets/sheet7.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1" width="12" style="1" hidden="0" customWidth="1"/>
    <x:col min="2" max="2" width="14" style="1" hidden="0" customWidth="1"/>
    <x:col min="3" max="3" width="19" style="1" hidden="0" customWidth="1"/>
    <x:col min="4" max="4" width="16" style="1" hidden="0" customWidth="1"/>
    <x:col min="5" max="5" width="20" style="1" hidden="0" customWidth="1"/>
    <x:col min="6" max="6" width="44" style="1" hidden="0" customWidth="1"/>
    <x:col min="7" max="7" width="11" style="1" hidden="0" customWidth="1"/>
    <x:col min="8" max="8" width="18" style="1" hidden="0" customWidth="1"/>
    <x:col min="9" max="9" width="15" style="1" hidden="0" customWidth="1"/>
    <x:col min="10" max="10" width="34" style="1" hidden="0" customWidth="1"/>
    <x:col min="11" max="11" width="74" style="1" hidden="0" customWidth="1"/>
    <x:col min="12" max="12" width="30" style="1" hidden="0" customWidth="1"/>
    <x:col min="13" max="13" width="14" style="1" hidden="0" customWidth="1"/>
    <x:col min="14" max="14" width="13" style="1" hidden="0" customWidth="1"/>
    <x:col min="15" max="15" width="11" style="1" hidden="0" customWidth="1"/>
    <x:col min="16" max="16" width="10" style="1" hidden="0" customWidth="1"/>
    <x:col min="17" max="17" width="24" hidden="0" customWidth="1"/>
    <x:col min="18" max="18" width="28" hidden="0" customWidth="1"/>
    <x:col min="19" max="19" width="62" hidden="0" customWidth="1"/>
    <x:col min="20" max="20" width="14" hidden="0" customWidth="1"/>
  </x:cols>
  <x:sheetData>
    <x:row r="1" ht="30" hidden="0" customHeight="1">
      <x:c r="A1" s="46" t="s">
        <x:v>776</x:v>
      </x:c>
      <x:c r="B1" s="46" t="s">
        <x:v>670</x:v>
      </x:c>
      <x:c r="C1" s="46" t="s">
        <x:v>672</x:v>
      </x:c>
      <x:c r="D1" s="46" t="s">
        <x:v>53</x:v>
      </x:c>
      <x:c r="E1" s="46" t="s">
        <x:v>47</x:v>
      </x:c>
      <x:c r="F1" s="46" t="s">
        <x:v>777</x:v>
      </x:c>
      <x:c r="G1" s="46" t="s">
        <x:v>778</x:v>
      </x:c>
      <x:c r="H1" s="46" t="s">
        <x:v>779</x:v>
      </x:c>
      <x:c r="I1" s="46" t="s">
        <x:v>780</x:v>
      </x:c>
      <x:c r="J1" s="46" t="s">
        <x:v>781</x:v>
      </x:c>
      <x:c r="K1" s="46" t="s">
        <x:v>782</x:v>
      </x:c>
      <x:c r="L1" s="46" t="s">
        <x:v>783</x:v>
      </x:c>
      <x:c r="M1" s="46" t="s">
        <x:v>237</x:v>
      </x:c>
      <x:c r="N1" s="46" t="s">
        <x:v>784</x:v>
      </x:c>
      <x:c r="O1" s="46" t="s">
        <x:v>785</x:v>
      </x:c>
      <x:c r="P1" s="46" t="s">
        <x:v>786</x:v>
      </x:c>
      <x:c r="Q1"/>
      <x:c r="R1"/>
      <x:c r="S1"/>
      <x:c r="T1"/>
    </x:row>
    <x:row r="2" ht="15" hidden="0" customHeight="1">
      <x:c r="A2" s="47" t="s">
        <x:v>787</x:v>
      </x:c>
      <x:c r="B2" s="47" t="s">
        <x:v>685</x:v>
      </x:c>
      <x:c r="C2" s="47" t="s">
        <x:v>687</x:v>
      </x:c>
      <x:c r="D2" s="47" t="n">
        <x:v>910001</x:v>
      </x:c>
      <x:c r="E2" s="47"/>
      <x:c r="F2" s="48" t="s">
        <x:v>788</x:v>
      </x:c>
      <x:c r="G2" s="48" t="s">
        <x:v>440</x:v>
      </x:c>
      <x:c r="H2" s="48" t="n">
        <x:v>1</x:v>
      </x:c>
      <x:c r="I2" s="48" t="s">
        <x:v>46</x:v>
      </x:c>
      <x:c r="J2" s="48"/>
      <x:c r="K2" s="48" t="s">
        <x:v>789</x:v>
      </x:c>
      <x:c r="L2" s="48" t="s">
        <x:v>790</x:v>
      </x:c>
      <x:c r="M2" s="126" t="n">
        <x:v>999</x:v>
      </x:c>
      <x:c r="N2" s="48" t="s">
        <x:v>791</x:v>
      </x:c>
      <x:c r="O2" s="55" t="n">
        <x:v>46235</x:v>
      </x:c>
      <x:c r="P2" s="48"/>
    </x:row>
    <x:row r="3" ht="15" hidden="0" customHeight="1">
      <x:c r="A3" s="50" t="s">
        <x:v>792</x:v>
      </x:c>
      <x:c r="B3" s="50" t="s">
        <x:v>685</x:v>
      </x:c>
      <x:c r="C3" s="50" t="s">
        <x:v>695</x:v>
      </x:c>
      <x:c r="D3" s="50" t="n">
        <x:v>910003</x:v>
      </x:c>
      <x:c r="E3" s="50"/>
      <x:c r="F3" s="51" t="s">
        <x:v>793</x:v>
      </x:c>
      <x:c r="G3" s="51" t="s">
        <x:v>440</x:v>
      </x:c>
      <x:c r="H3" s="51" t="n">
        <x:v>1</x:v>
      </x:c>
      <x:c r="I3" s="51" t="s">
        <x:v>46</x:v>
      </x:c>
      <x:c r="J3" s="51"/>
      <x:c r="K3" s="56" t="s">
        <x:v>794</x:v>
      </x:c>
      <x:c r="L3" s="51" t="s">
        <x:v>795</x:v>
      </x:c>
      <x:c r="M3" s="127" t="n">
        <x:v>999</x:v>
      </x:c>
      <x:c r="N3" s="51" t="s">
        <x:v>791</x:v>
      </x:c>
      <x:c r="O3" s="57" t="n">
        <x:v>46235</x:v>
      </x:c>
      <x:c r="P3" s="51"/>
    </x:row>
    <x:row r="4" ht="15" hidden="0" customHeight="1">
      <x:c r="A4" s="47" t="s">
        <x:v>796</x:v>
      </x:c>
      <x:c r="B4" s="47" t="s">
        <x:v>685</x:v>
      </x:c>
      <x:c r="C4" s="47" t="s">
        <x:v>700</x:v>
      </x:c>
      <x:c r="D4" s="47" t="n">
        <x:v>910003</x:v>
      </x:c>
      <x:c r="E4" s="47"/>
      <x:c r="F4" s="48" t="s">
        <x:v>797</x:v>
      </x:c>
      <x:c r="G4" s="48" t="s">
        <x:v>440</x:v>
      </x:c>
      <x:c r="H4" s="48" t="n">
        <x:v>1</x:v>
      </x:c>
      <x:c r="I4" s="48" t="s">
        <x:v>46</x:v>
      </x:c>
      <x:c r="J4" s="48"/>
      <x:c r="K4" s="58" t="s">
        <x:v>798</x:v>
      </x:c>
      <x:c r="L4" s="48" t="s">
        <x:v>799</x:v>
      </x:c>
      <x:c r="M4" s="126" t="n">
        <x:v>999</x:v>
      </x:c>
      <x:c r="N4" s="48" t="s">
        <x:v>791</x:v>
      </x:c>
      <x:c r="O4" s="55" t="n">
        <x:v>46235</x:v>
      </x:c>
      <x:c r="P4" s="48"/>
    </x:row>
    <x:row r="5" ht="15" hidden="0" customHeight="1">
      <x:c r="A5" s="50" t="s">
        <x:v>800</x:v>
      </x:c>
      <x:c r="B5" s="50" t="s">
        <x:v>706</x:v>
      </x:c>
      <x:c r="C5" s="50" t="s">
        <x:v>708</x:v>
      </x:c>
      <x:c r="D5" s="50" t="n">
        <x:v>910003</x:v>
      </x:c>
      <x:c r="E5" s="50"/>
      <x:c r="F5" s="51" t="s">
        <x:v>793</x:v>
      </x:c>
      <x:c r="G5" s="51" t="s">
        <x:v>440</x:v>
      </x:c>
      <x:c r="H5" s="51" t="n">
        <x:v>1</x:v>
      </x:c>
      <x:c r="I5" s="51" t="s">
        <x:v>56</x:v>
      </x:c>
      <x:c r="J5" s="51" t="s">
        <x:v>801</x:v>
      </x:c>
      <x:c r="K5" s="51" t="s">
        <x:v>802</x:v>
      </x:c>
      <x:c r="L5" s="51"/>
      <x:c r="M5" s="127" t="n">
        <x:v>999</x:v>
      </x:c>
      <x:c r="N5" s="51"/>
      <x:c r="O5" s="57" t="n">
        <x:v>46235</x:v>
      </x:c>
      <x:c r="P5" s="51"/>
    </x:row>
    <x:row r="6" ht="15" hidden="0" customHeight="1">
      <x:c r="A6" s="47" t="s">
        <x:v>803</x:v>
      </x:c>
      <x:c r="B6" s="47" t="s">
        <x:v>685</x:v>
      </x:c>
      <x:c r="C6" s="47" t="s">
        <x:v>711</x:v>
      </x:c>
      <x:c r="D6" s="47" t="n">
        <x:v>910001</x:v>
      </x:c>
      <x:c r="E6" s="47"/>
      <x:c r="F6" s="48" t="s">
        <x:v>804</x:v>
      </x:c>
      <x:c r="G6" s="48" t="s">
        <x:v>440</x:v>
      </x:c>
      <x:c r="H6" s="48" t="n">
        <x:v>1</x:v>
      </x:c>
      <x:c r="I6" s="48" t="s">
        <x:v>46</x:v>
      </x:c>
      <x:c r="J6" s="48"/>
      <x:c r="K6" s="48" t="s">
        <x:v>805</x:v>
      </x:c>
      <x:c r="L6" s="48" t="s">
        <x:v>806</x:v>
      </x:c>
      <x:c r="M6" s="126" t="n">
        <x:v>999</x:v>
      </x:c>
      <x:c r="N6" s="48" t="s">
        <x:v>791</x:v>
      </x:c>
      <x:c r="O6" s="55" t="n">
        <x:v>46235</x:v>
      </x:c>
      <x:c r="P6" s="48"/>
    </x:row>
    <x:row r="7" ht="15" hidden="0" customHeight="1">
      <x:c r="A7" s="50" t="s">
        <x:v>807</x:v>
      </x:c>
      <x:c r="B7" s="50" t="s">
        <x:v>685</x:v>
      </x:c>
      <x:c r="C7" s="50" t="s">
        <x:v>720</x:v>
      </x:c>
      <x:c r="D7" s="50" t="n">
        <x:v>910003</x:v>
      </x:c>
      <x:c r="E7" s="50"/>
      <x:c r="F7" s="51" t="s">
        <x:v>804</x:v>
      </x:c>
      <x:c r="G7" s="51" t="s">
        <x:v>440</x:v>
      </x:c>
      <x:c r="H7" s="51" t="n">
        <x:v>1</x:v>
      </x:c>
      <x:c r="I7" s="51" t="s">
        <x:v>46</x:v>
      </x:c>
      <x:c r="J7" s="51"/>
      <x:c r="K7" s="51" t="s">
        <x:v>808</x:v>
      </x:c>
      <x:c r="L7" s="51" t="s">
        <x:v>809</x:v>
      </x:c>
      <x:c r="M7" s="127" t="n">
        <x:v>999</x:v>
      </x:c>
      <x:c r="N7" s="51" t="s">
        <x:v>791</x:v>
      </x:c>
      <x:c r="O7" s="57" t="n">
        <x:v>46235</x:v>
      </x:c>
      <x:c r="P7" s="51"/>
    </x:row>
    <x:row r="8" ht="15" hidden="0" customHeight="1">
      <x:c r="A8" s="47" t="s">
        <x:v>810</x:v>
      </x:c>
      <x:c r="B8" s="47" t="s">
        <x:v>685</x:v>
      </x:c>
      <x:c r="C8" s="47" t="s">
        <x:v>720</x:v>
      </x:c>
      <x:c r="D8" s="47" t="n">
        <x:v>910005</x:v>
      </x:c>
      <x:c r="E8" s="47"/>
      <x:c r="F8" s="48" t="s">
        <x:v>811</x:v>
      </x:c>
      <x:c r="G8" s="48" t="s">
        <x:v>440</x:v>
      </x:c>
      <x:c r="H8" s="48" t="n">
        <x:v>1</x:v>
      </x:c>
      <x:c r="I8" s="48" t="s">
        <x:v>46</x:v>
      </x:c>
      <x:c r="J8" s="48" t="s">
        <x:v>812</x:v>
      </x:c>
      <x:c r="K8" s="48" t="s">
        <x:v>813</x:v>
      </x:c>
      <x:c r="L8" s="48" t="s">
        <x:v>814</x:v>
      </x:c>
      <x:c r="M8" s="126" t="n">
        <x:v>999</x:v>
      </x:c>
      <x:c r="N8" s="48" t="s">
        <x:v>791</x:v>
      </x:c>
      <x:c r="O8" s="55" t="n">
        <x:v>46235</x:v>
      </x:c>
      <x:c r="P8" s="48"/>
    </x:row>
    <x:row r="9" ht="15" hidden="0" customHeight="1">
      <x:c r="A9" s="50" t="s">
        <x:v>815</x:v>
      </x:c>
      <x:c r="B9" s="50" t="s">
        <x:v>685</x:v>
      </x:c>
      <x:c r="C9" s="50" t="s">
        <x:v>729</x:v>
      </x:c>
      <x:c r="D9" s="50"/>
      <x:c r="E9" s="50" t="n">
        <x:v>900003</x:v>
      </x:c>
      <x:c r="F9" s="51" t="s">
        <x:v>816</x:v>
      </x:c>
      <x:c r="G9" s="51" t="s">
        <x:v>440</x:v>
      </x:c>
      <x:c r="H9" s="51" t="n">
        <x:v>1</x:v>
      </x:c>
      <x:c r="I9" s="51" t="s">
        <x:v>46</x:v>
      </x:c>
      <x:c r="J9" s="51"/>
      <x:c r="K9" s="56" t="s">
        <x:v>817</x:v>
      </x:c>
      <x:c r="L9" s="51" t="s">
        <x:v>818</x:v>
      </x:c>
      <x:c r="M9" s="127" t="n">
        <x:v>999</x:v>
      </x:c>
      <x:c r="N9" s="51" t="s">
        <x:v>791</x:v>
      </x:c>
      <x:c r="O9" s="57" t="n">
        <x:v>46235</x:v>
      </x:c>
      <x:c r="P9" s="51"/>
    </x:row>
    <x:row r="10" ht="15" hidden="0" customHeight="1">
      <x:c r="A10" s="47" t="s">
        <x:v>819</x:v>
      </x:c>
      <x:c r="B10" s="47" t="s">
        <x:v>685</x:v>
      </x:c>
      <x:c r="C10" s="47" t="s">
        <x:v>753</x:v>
      </x:c>
      <x:c r="D10" s="47" t="n">
        <x:v>910002</x:v>
      </x:c>
      <x:c r="E10" s="47"/>
      <x:c r="F10" s="48" t="s">
        <x:v>820</x:v>
      </x:c>
      <x:c r="G10" s="48" t="s">
        <x:v>440</x:v>
      </x:c>
      <x:c r="H10" s="48" t="n">
        <x:v>4</x:v>
      </x:c>
      <x:c r="I10" s="48" t="s">
        <x:v>46</x:v>
      </x:c>
      <x:c r="J10" s="48"/>
      <x:c r="K10" s="58" t="s">
        <x:v>821</x:v>
      </x:c>
      <x:c r="L10" s="48" t="s">
        <x:v>822</x:v>
      </x:c>
      <x:c r="M10" s="126" t="n">
        <x:v>999</x:v>
      </x:c>
      <x:c r="N10" s="48" t="s">
        <x:v>791</x:v>
      </x:c>
      <x:c r="O10" s="55" t="n">
        <x:v>46235</x:v>
      </x:c>
      <x:c r="P10" s="48"/>
    </x:row>
    <x:row r="11" ht="15" hidden="0" customHeight="1">
      <x:c r="A11" s="50" t="s">
        <x:v>823</x:v>
      </x:c>
      <x:c r="B11" s="50" t="s">
        <x:v>685</x:v>
      </x:c>
      <x:c r="C11" s="50" t="s">
        <x:v>743</x:v>
      </x:c>
      <x:c r="D11" s="50" t="n">
        <x:v>910002</x:v>
      </x:c>
      <x:c r="E11" s="50"/>
      <x:c r="F11" s="51" t="s">
        <x:v>820</x:v>
      </x:c>
      <x:c r="G11" s="51" t="s">
        <x:v>824</x:v>
      </x:c>
      <x:c r="H11" s="51" t="n">
        <x:v>1</x:v>
      </x:c>
      <x:c r="I11" s="51" t="s">
        <x:v>46</x:v>
      </x:c>
      <x:c r="J11" s="51"/>
      <x:c r="K11" s="56" t="s">
        <x:v>825</x:v>
      </x:c>
      <x:c r="L11" s="51" t="s">
        <x:v>826</x:v>
      </x:c>
      <x:c r="M11" s="127" t="n">
        <x:v>999</x:v>
      </x:c>
      <x:c r="N11" s="51" t="s">
        <x:v>791</x:v>
      </x:c>
      <x:c r="O11" s="57" t="n">
        <x:v>46235</x:v>
      </x:c>
      <x:c r="P11" s="51"/>
    </x:row>
    <x:row r="12" ht="15" hidden="0" customHeight="1">
      <x:c r="A12" s="47" t="s">
        <x:v>827</x:v>
      </x:c>
      <x:c r="B12" s="47" t="s">
        <x:v>685</x:v>
      </x:c>
      <x:c r="C12" s="47" t="s">
        <x:v>724</x:v>
      </x:c>
      <x:c r="D12" s="47" t="n">
        <x:v>910001</x:v>
      </x:c>
      <x:c r="E12" s="47"/>
      <x:c r="F12" s="48" t="s">
        <x:v>788</x:v>
      </x:c>
      <x:c r="G12" s="48" t="s">
        <x:v>440</x:v>
      </x:c>
      <x:c r="H12" s="48" t="n">
        <x:v>1</x:v>
      </x:c>
      <x:c r="I12" s="48" t="s">
        <x:v>46</x:v>
      </x:c>
      <x:c r="J12" s="48"/>
      <x:c r="K12" s="48"/>
      <x:c r="L12" s="48" t="s">
        <x:v>828</x:v>
      </x:c>
      <x:c r="M12" s="126" t="n">
        <x:v>999</x:v>
      </x:c>
      <x:c r="N12" s="48" t="s">
        <x:v>791</x:v>
      </x:c>
      <x:c r="O12" s="55" t="n">
        <x:v>46235</x:v>
      </x:c>
      <x:c r="P12" s="48"/>
    </x:row>
    <x:row r="13" ht="15" hidden="0" customHeight="1">
      <x:c r="A13" s="50" t="s">
        <x:v>829</x:v>
      </x:c>
      <x:c r="B13" s="50" t="s">
        <x:v>685</x:v>
      </x:c>
      <x:c r="C13" s="50" t="s">
        <x:v>758</x:v>
      </x:c>
      <x:c r="D13" s="50" t="n">
        <x:v>910001</x:v>
      </x:c>
      <x:c r="E13" s="50"/>
      <x:c r="F13" s="51" t="s">
        <x:v>804</x:v>
      </x:c>
      <x:c r="G13" s="51" t="s">
        <x:v>830</x:v>
      </x:c>
      <x:c r="H13" s="51" t="n">
        <x:v>2</x:v>
      </x:c>
      <x:c r="I13" s="51" t="s">
        <x:v>46</x:v>
      </x:c>
      <x:c r="J13" s="51"/>
      <x:c r="K13" s="51" t="s">
        <x:v>831</x:v>
      </x:c>
      <x:c r="L13" s="51" t="s">
        <x:v>832</x:v>
      </x:c>
      <x:c r="M13" s="127" t="n">
        <x:v>999</x:v>
      </x:c>
      <x:c r="N13" s="51" t="s">
        <x:v>791</x:v>
      </x:c>
      <x:c r="O13" s="57" t="n">
        <x:v>46235</x:v>
      </x:c>
      <x:c r="P13" s="51"/>
    </x:row>
    <x:row r="14" ht="15" hidden="0" customHeight="1">
      <x:c r="A14" s="47" t="s">
        <x:v>833</x:v>
      </x:c>
      <x:c r="B14" s="47" t="s">
        <x:v>706</x:v>
      </x:c>
      <x:c r="C14" s="47" t="s">
        <x:v>763</x:v>
      </x:c>
      <x:c r="D14" s="47" t="n">
        <x:v>910001</x:v>
      </x:c>
      <x:c r="E14" s="47"/>
      <x:c r="F14" s="48" t="s">
        <x:v>804</x:v>
      </x:c>
      <x:c r="G14" s="48" t="s">
        <x:v>830</x:v>
      </x:c>
      <x:c r="H14" s="48" t="n">
        <x:v>2</x:v>
      </x:c>
      <x:c r="I14" s="48" t="s">
        <x:v>52</x:v>
      </x:c>
      <x:c r="J14" s="48" t="s">
        <x:v>834</x:v>
      </x:c>
      <x:c r="K14" s="48" t="s">
        <x:v>835</x:v>
      </x:c>
      <x:c r="L14" s="48"/>
      <x:c r="M14" s="126" t="n">
        <x:v>999</x:v>
      </x:c>
      <x:c r="N14" s="48"/>
      <x:c r="O14" s="55" t="n">
        <x:v>46235</x:v>
      </x:c>
      <x:c r="P14" s="48"/>
    </x:row>
    <x:row r="15" ht="15" hidden="0" customHeight="1">
      <x:c r="A15" s="50" t="s">
        <x:v>836</x:v>
      </x:c>
      <x:c r="B15" s="50" t="s">
        <x:v>685</x:v>
      </x:c>
      <x:c r="C15" s="50" t="s">
        <x:v>687</x:v>
      </x:c>
      <x:c r="D15" s="50" t="n">
        <x:v>910011</x:v>
      </x:c>
      <x:c r="E15" s="50"/>
      <x:c r="F15" s="51" t="s">
        <x:v>837</x:v>
      </x:c>
      <x:c r="G15" s="51" t="s">
        <x:v>440</x:v>
      </x:c>
      <x:c r="H15" s="51" t="n">
        <x:v>1</x:v>
      </x:c>
      <x:c r="I15" s="51" t="s">
        <x:v>52</x:v>
      </x:c>
      <x:c r="J15" s="51" t="s">
        <x:v>838</x:v>
      </x:c>
      <x:c r="K15" s="51" t="s">
        <x:v>839</x:v>
      </x:c>
      <x:c r="L15" s="51"/>
      <x:c r="M15" s="127" t="n">
        <x:v>999</x:v>
      </x:c>
      <x:c r="N15" s="51"/>
      <x:c r="O15" s="57" t="n">
        <x:v>46235</x:v>
      </x:c>
      <x:c r="P15" s="51"/>
    </x:row>
    <x:row r="16" ht="15" hidden="0" customHeight="1">
      <x:c r="A16" s="47" t="s">
        <x:v>840</x:v>
      </x:c>
      <x:c r="B16" s="47" t="s">
        <x:v>685</x:v>
      </x:c>
      <x:c r="C16" s="47" t="s">
        <x:v>748</x:v>
      </x:c>
      <x:c r="D16" s="47" t="n">
        <x:v>910006</x:v>
      </x:c>
      <x:c r="E16" s="47"/>
      <x:c r="F16" s="48" t="s">
        <x:v>820</x:v>
      </x:c>
      <x:c r="G16" s="48" t="s">
        <x:v>440</x:v>
      </x:c>
      <x:c r="H16" s="48" t="n">
        <x:v>1</x:v>
      </x:c>
      <x:c r="I16" s="48" t="s">
        <x:v>46</x:v>
      </x:c>
      <x:c r="J16" s="48"/>
      <x:c r="K16" s="48"/>
      <x:c r="L16" s="48" t="s">
        <x:v>841</x:v>
      </x:c>
      <x:c r="M16" s="126" t="n">
        <x:v>999</x:v>
      </x:c>
      <x:c r="N16" s="48" t="s">
        <x:v>791</x:v>
      </x:c>
      <x:c r="O16" s="55" t="n">
        <x:v>46235</x:v>
      </x:c>
      <x:c r="P16" s="48"/>
    </x:row>
    <x:row r="17" ht="15" hidden="0" customHeight="1">
      <x:c r="A17" s="50" t="s">
        <x:v>842</x:v>
      </x:c>
      <x:c r="B17" s="50" t="s">
        <x:v>685</x:v>
      </x:c>
      <x:c r="C17" s="50" t="s">
        <x:v>687</x:v>
      </x:c>
      <x:c r="D17" s="50" t="n">
        <x:v>910001</x:v>
      </x:c>
      <x:c r="E17" s="50"/>
      <x:c r="F17" s="51" t="s">
        <x:v>788</x:v>
      </x:c>
      <x:c r="G17" s="51" t="s">
        <x:v>440</x:v>
      </x:c>
      <x:c r="H17" s="51" t="n">
        <x:v>1</x:v>
      </x:c>
      <x:c r="I17" s="51" t="s">
        <x:v>46</x:v>
      </x:c>
      <x:c r="J17" s="51" t="s">
        <x:v>843</x:v>
      </x:c>
      <x:c r="K17" s="51" t="s">
        <x:v>844</x:v>
      </x:c>
      <x:c r="L17" s="51"/>
      <x:c r="M17" s="127" t="n">
        <x:v>999</x:v>
      </x:c>
      <x:c r="N17" s="51" t="s">
        <x:v>791</x:v>
      </x:c>
      <x:c r="O17" s="57" t="n">
        <x:v>46054</x:v>
      </x:c>
      <x:c r="P17" s="57" t="n">
        <x:v>46234</x:v>
      </x:c>
    </x:row>
    <x:row r="18" ht="39.599998474121094" hidden="0" customHeight="1">
      <x:c r="A18"/>
      <x:c r="B18"/>
      <x:c r="C18"/>
      <x:c r="D18"/>
      <x:c r="E18"/>
      <x:c r="F18"/>
      <x:c r="G18"/>
      <x:c r="H18"/>
      <x:c r="I18"/>
      <x:c r="J18"/>
      <x:c r="K18"/>
      <x:c r="L18"/>
      <x:c r="M18"/>
      <x:c r="N18"/>
      <x:c r="O18"/>
      <x:c r="P18"/>
      <x:c r="Q18"/>
      <x:c r="R18"/>
      <x:c r="S18"/>
      <x:c r="T18"/>
    </x:row>
    <x:row r="19" ht="39.599998474121094" hidden="0" customHeight="1">
      <x:c r="A19"/>
      <x:c r="B19"/>
      <x:c r="C19"/>
      <x:c r="D19"/>
      <x:c r="E19"/>
      <x:c r="F19"/>
      <x:c r="G19"/>
      <x:c r="H19"/>
      <x:c r="I19"/>
      <x:c r="J19"/>
      <x:c r="K19"/>
      <x:c r="L19"/>
      <x:c r="M19"/>
      <x:c r="N19"/>
      <x:c r="O19"/>
      <x:c r="P19"/>
      <x:c r="Q19"/>
      <x:c r="R19"/>
      <x:c r="S19"/>
      <x:c r="T19"/>
    </x:row>
    <x:row r="20" ht="39.599998474121094" hidden="0" customHeight="1">
      <x:c r="A20"/>
      <x:c r="B20"/>
      <x:c r="C20"/>
      <x:c r="D20"/>
      <x:c r="E20"/>
      <x:c r="F20"/>
      <x:c r="G20"/>
      <x:c r="H20"/>
      <x:c r="I20"/>
      <x:c r="J20"/>
      <x:c r="K20"/>
      <x:c r="L20"/>
      <x:c r="M20"/>
      <x:c r="N20"/>
      <x:c r="O20"/>
      <x:c r="P20"/>
      <x:c r="Q20"/>
      <x:c r="R20"/>
      <x:c r="S20"/>
      <x:c r="T20"/>
    </x:row>
    <x:row r="21" ht="39.599998474121094" hidden="0" customHeight="1">
      <x:c r="A21"/>
      <x:c r="B21"/>
      <x:c r="C21"/>
      <x:c r="D21"/>
      <x:c r="E21"/>
      <x:c r="F21"/>
      <x:c r="G21"/>
      <x:c r="H21"/>
      <x:c r="I21"/>
      <x:c r="J21"/>
      <x:c r="K21"/>
      <x:c r="L21"/>
      <x:c r="M21"/>
      <x:c r="N21"/>
      <x:c r="O21"/>
      <x:c r="P21"/>
      <x:c r="Q21"/>
      <x:c r="R21"/>
      <x:c r="S21"/>
      <x:c r="T21"/>
    </x:row>
    <x:row r="22" ht="39.599998474121094" hidden="0" customHeight="1">
      <x:c r="A22"/>
      <x:c r="B22"/>
      <x:c r="C22"/>
      <x:c r="D22"/>
      <x:c r="E22"/>
      <x:c r="F22"/>
      <x:c r="G22"/>
      <x:c r="H22"/>
      <x:c r="I22"/>
      <x:c r="J22"/>
      <x:c r="K22"/>
      <x:c r="L22"/>
      <x:c r="M22"/>
      <x:c r="N22"/>
      <x:c r="O22"/>
      <x:c r="P22"/>
      <x:c r="Q22"/>
      <x:c r="R22"/>
      <x:c r="S22"/>
      <x:c r="T22"/>
    </x:row>
    <x:row r="23" ht="39.599998474121094" hidden="0" customHeight="1">
      <x:c r="A23"/>
      <x:c r="B23"/>
      <x:c r="C23"/>
      <x:c r="D23"/>
      <x:c r="E23"/>
      <x:c r="F23"/>
      <x:c r="G23"/>
      <x:c r="H23"/>
      <x:c r="I23"/>
      <x:c r="J23"/>
      <x:c r="K23"/>
      <x:c r="L23"/>
      <x:c r="M23"/>
      <x:c r="N23"/>
      <x:c r="O23"/>
      <x:c r="P23"/>
      <x:c r="Q23"/>
      <x:c r="R23"/>
      <x:c r="S23"/>
      <x:c r="T23"/>
    </x:row>
  </x:sheetData>
  <x:dataValidations count="1">
    <x:dataValidation type="list" errorStyle="stop" operator="between" allowBlank="0" showDropDown="0" showInputMessage="0" showErrorMessage="0" sqref="I2:I17">
      <x:formula1>"A,B,C,D"</x:formula1>
      <x:formula2>0</x:formula2>
    </x:dataValidation>
  </x:dataValidations>
  <x:pageMargins left="0.7" right="0.7" top="0.75" bottom="0.75" header="0.3" footer="0.3"/>
  <x:legacyDrawing xmlns:r="http://schemas.openxmlformats.org/officeDocument/2006/relationships" r:id="R8ee918b58f864a74"/>
</x:worksheet>
</file>

<file path=xl/worksheets/sheet8.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1" width="14" style="1" hidden="0" customWidth="1"/>
    <x:col min="2" max="2" width="19" style="1" hidden="0" customWidth="1"/>
    <x:col min="3" max="3" width="16" style="1" hidden="0" customWidth="1"/>
    <x:col min="4" max="4" width="32" style="1" hidden="0" customWidth="1"/>
    <x:col min="5" max="5" width="30" style="1" hidden="0" customWidth="1"/>
    <x:col min="6" max="6" width="96" style="1" hidden="0" customWidth="1"/>
    <x:col min="7" max="7" width="14" style="1" hidden="0" customWidth="1"/>
    <x:col min="8" max="8" width="13" style="1" hidden="0" customWidth="1"/>
  </x:cols>
  <x:sheetData>
    <x:row r="1" ht="30" hidden="0" customHeight="1">
      <x:c r="A1" s="46" t="s">
        <x:v>670</x:v>
      </x:c>
      <x:c r="B1" s="46" t="s">
        <x:v>672</x:v>
      </x:c>
      <x:c r="C1" s="46" t="s">
        <x:v>53</x:v>
      </x:c>
      <x:c r="D1" s="46" t="s">
        <x:v>777</x:v>
      </x:c>
      <x:c r="E1" s="46" t="s">
        <x:v>845</x:v>
      </x:c>
      <x:c r="F1" s="46" t="s">
        <x:v>846</x:v>
      </x:c>
      <x:c r="G1" s="46" t="s">
        <x:v>237</x:v>
      </x:c>
      <x:c r="H1" s="46" t="s">
        <x:v>847</x:v>
      </x:c>
    </x:row>
    <x:row r="2" ht="31.5" hidden="0" customHeight="1">
      <x:c r="A2" s="47" t="s">
        <x:v>685</x:v>
      </x:c>
      <x:c r="B2" s="47" t="s">
        <x:v>716</x:v>
      </x:c>
      <x:c r="C2" s="47" t="n">
        <x:v>910001</x:v>
      </x:c>
      <x:c r="D2" s="48" t="s">
        <x:v>804</x:v>
      </x:c>
      <x:c r="E2" s="48" t="s">
        <x:v>848</x:v>
      </x:c>
      <x:c r="F2" s="59" t="s">
        <x:v>849</x:v>
      </x:c>
      <x:c r="G2" s="47" t="n">
        <x:v>999</x:v>
      </x:c>
      <x:c r="H2" s="48" t="s">
        <x:v>791</x:v>
      </x:c>
    </x:row>
    <x:row r="3" ht="31.5" hidden="0" customHeight="1">
      <x:c r="A3" s="50" t="s">
        <x:v>685</x:v>
      </x:c>
      <x:c r="B3" s="50" t="s">
        <x:v>734</x:v>
      </x:c>
      <x:c r="C3" s="50" t="n">
        <x:v>900003</x:v>
      </x:c>
      <x:c r="D3" s="51" t="s">
        <x:v>816</x:v>
      </x:c>
      <x:c r="E3" s="51" t="s">
        <x:v>850</x:v>
      </x:c>
      <x:c r="F3" s="60" t="s">
        <x:v>851</x:v>
      </x:c>
      <x:c r="G3" s="50" t="n">
        <x:v>999</x:v>
      </x:c>
      <x:c r="H3" s="51" t="s">
        <x:v>791</x:v>
      </x:c>
    </x:row>
    <x:row r="4" ht="31.5" hidden="0" customHeight="1">
      <x:c r="A4" s="47" t="s">
        <x:v>685</x:v>
      </x:c>
      <x:c r="B4" s="47" t="s">
        <x:v>695</x:v>
      </x:c>
      <x:c r="C4" s="47" t="n">
        <x:v>910001</x:v>
      </x:c>
      <x:c r="D4" s="48" t="s">
        <x:v>804</x:v>
      </x:c>
      <x:c r="E4" s="48" t="s">
        <x:v>852</x:v>
      </x:c>
      <x:c r="F4" s="59" t="s">
        <x:v>853</x:v>
      </x:c>
      <x:c r="G4" s="47" t="n">
        <x:v>999</x:v>
      </x:c>
      <x:c r="H4" s="48" t="s">
        <x:v>791</x:v>
      </x:c>
    </x:row>
    <x:row r="5" ht="31.5" hidden="0" customHeight="1">
      <x:c r="A5" s="50" t="s">
        <x:v>685</x:v>
      </x:c>
      <x:c r="B5" s="50" t="s">
        <x:v>720</x:v>
      </x:c>
      <x:c r="C5" s="50" t="n">
        <x:v>910001</x:v>
      </x:c>
      <x:c r="D5" s="51" t="s">
        <x:v>804</x:v>
      </x:c>
      <x:c r="E5" s="51" t="s">
        <x:v>854</x:v>
      </x:c>
      <x:c r="F5" s="60" t="s">
        <x:v>855</x:v>
      </x:c>
      <x:c r="G5" s="50" t="n">
        <x:v>999</x:v>
      </x:c>
      <x:c r="H5" s="51" t="s">
        <x:v>791</x:v>
      </x:c>
    </x:row>
    <x:row r="6" ht="31.5" hidden="0" customHeight="1">
      <x:c r="A6" s="47" t="s">
        <x:v>706</x:v>
      </x:c>
      <x:c r="B6" s="47" t="s">
        <x:v>763</x:v>
      </x:c>
      <x:c r="C6" s="47" t="n">
        <x:v>910004</x:v>
      </x:c>
      <x:c r="D6" s="48" t="s">
        <x:v>804</x:v>
      </x:c>
      <x:c r="E6" s="48" t="s">
        <x:v>856</x:v>
      </x:c>
      <x:c r="F6" s="59" t="s">
        <x:v>857</x:v>
      </x:c>
      <x:c r="G6" s="47" t="n">
        <x:v>999</x:v>
      </x:c>
      <x:c r="H6" s="48" t="s">
        <x:v>791</x:v>
      </x:c>
    </x:row>
    <x:row r="8" ht="15" hidden="0" customHeight="1">
      <x:c r="A8" s="5" t="s">
        <x:v>858</x:v>
      </x:c>
    </x:row>
    <x:row r="9" ht="15" hidden="0" customHeight="1">
      <x:c r="A9" s="61" t="s">
        <x:v>859</x:v>
      </x:c>
      <x:c r="B9" s="61"/>
      <x:c r="C9" s="61"/>
      <x:c r="D9" s="61"/>
      <x:c r="E9" s="61"/>
      <x:c r="F9" s="61"/>
      <x:c r="G9" s="61"/>
      <x:c r="H9" s="61"/>
    </x:row>
    <x:row r="10" ht="15" hidden="0" customHeight="1">
      <x:c r="A10" s="61"/>
      <x:c r="B10" s="61"/>
      <x:c r="C10" s="61"/>
      <x:c r="D10" s="61"/>
      <x:c r="E10" s="61"/>
      <x:c r="F10" s="61"/>
      <x:c r="G10" s="61"/>
      <x:c r="H10" s="61"/>
    </x:row>
  </x:sheetData>
  <x:mergeCells>
    <x:mergeCell ref="A9:H10"/>
  </x:mergeCells>
  <x:pageMargins left="0.7" right="0.7" top="0.75" bottom="0.75" header="0.3" footer="0.3"/>
</x:worksheet>
</file>

<file path=xl/worksheets/sheet9.xml><?xml version="1.0" encoding="utf-8"?>
<x:worksheet xmlns:x="http://schemas.openxmlformats.org/spreadsheetml/2006/main">
  <x:sheetViews>
    <x:sheetView showGridLines="1" workbookViewId="0">
      <x:pane ySplit="2" topLeftCell="A3" activePane="bottomLeft" state="frozen"/>
    </x:sheetView>
  </x:sheetViews>
  <x:sheetFormatPr defaultColWidth="8.6796875" defaultRowHeight="15"/>
  <x:cols>
    <x:col min="1" max="1" width="12" style="1" hidden="0" customWidth="1"/>
    <x:col min="2" max="2" width="24" style="1" hidden="0" customWidth="1"/>
    <x:col min="3" max="3" width="15" style="1" hidden="0" customWidth="1"/>
    <x:col min="4" max="4" width="19" style="1" hidden="0" customWidth="1"/>
    <x:col min="5" max="5" width="16" style="1" hidden="0" customWidth="1"/>
    <x:col min="6" max="6" width="20" style="1" hidden="0" customWidth="1"/>
    <x:col min="7" max="7" width="62" style="1" hidden="0" customWidth="1"/>
    <x:col min="8" max="8" width="11" style="1" hidden="0" customWidth="1"/>
  </x:cols>
  <x:sheetData>
    <x:row r="1" ht="15" hidden="0" customHeight="1">
      <x:c r="A1" s="5" t="s">
        <x:v>860</x:v>
      </x:c>
    </x:row>
    <x:row r="2" ht="30" hidden="0" customHeight="1">
      <x:c r="A2" s="46" t="s">
        <x:v>861</x:v>
      </x:c>
      <x:c r="B2" s="46" t="s">
        <x:v>862</x:v>
      </x:c>
      <x:c r="C2" s="46" t="s">
        <x:v>863</x:v>
      </x:c>
      <x:c r="D2" s="46" t="s">
        <x:v>864</x:v>
      </x:c>
      <x:c r="E2" s="46" t="s">
        <x:v>865</x:v>
      </x:c>
      <x:c r="F2" s="46" t="s">
        <x:v>866</x:v>
      </x:c>
      <x:c r="G2" s="46" t="s">
        <x:v>867</x:v>
      </x:c>
      <x:c r="H2" s="46" t="s">
        <x:v>868</x:v>
      </x:c>
    </x:row>
    <x:row r="3" ht="15" hidden="0" customHeight="1">
      <x:c r="A3" s="50" t="n">
        <x:v>101</x:v>
      </x:c>
      <x:c r="B3" s="51" t="s">
        <x:v>869</x:v>
      </x:c>
      <x:c r="C3" s="51" t="s">
        <x:v>870</x:v>
      </x:c>
      <x:c r="D3" s="51" t="s">
        <x:v>871</x:v>
      </x:c>
      <x:c r="E3" s="51" t="s">
        <x:v>872</x:v>
      </x:c>
      <x:c r="F3" s="52" t="b">
        <x:f aca="0">TRUE()</x:f>
        <x:v>1</x:v>
      </x:c>
      <x:c r="G3" s="51" t="s">
        <x:v>873</x:v>
      </x:c>
      <x:c r="H3" s="50" t="n">
        <x:v>11</x:v>
      </x:c>
    </x:row>
    <x:row r="4" ht="15" hidden="0" customHeight="1">
      <x:c r="A4" s="47" t="n">
        <x:v>102</x:v>
      </x:c>
      <x:c r="B4" s="48" t="s">
        <x:v>874</x:v>
      </x:c>
      <x:c r="C4" s="48" t="s">
        <x:v>870</x:v>
      </x:c>
      <x:c r="D4" s="48" t="s">
        <x:v>875</x:v>
      </x:c>
      <x:c r="E4" s="48" t="s">
        <x:v>876</x:v>
      </x:c>
      <x:c r="F4" s="49" t="b">
        <x:f aca="0">FALSE()</x:f>
        <x:v>0</x:v>
      </x:c>
      <x:c r="G4" s="48"/>
      <x:c r="H4" s="47" t="n">
        <x:v>0</x:v>
      </x:c>
    </x:row>
    <x:row r="5" ht="15" hidden="0" customHeight="1">
      <x:c r="A5" s="50" t="n">
        <x:v>103</x:v>
      </x:c>
      <x:c r="B5" s="51" t="s">
        <x:v>877</x:v>
      </x:c>
      <x:c r="C5" s="51" t="s">
        <x:v>878</x:v>
      </x:c>
      <x:c r="D5" s="51" t="s">
        <x:v>875</x:v>
      </x:c>
      <x:c r="E5" s="51" t="s">
        <x:v>876</x:v>
      </x:c>
      <x:c r="F5" s="52" t="b">
        <x:f aca="0">FALSE()</x:f>
        <x:v>0</x:v>
      </x:c>
      <x:c r="G5" s="51"/>
      <x:c r="H5" s="50" t="n">
        <x:v>0</x:v>
      </x:c>
    </x:row>
    <x:row r="6" ht="15" hidden="0" customHeight="1">
      <x:c r="A6" s="47" t="n">
        <x:v>104</x:v>
      </x:c>
      <x:c r="B6" s="48" t="s">
        <x:v>879</x:v>
      </x:c>
      <x:c r="C6" s="48" t="s">
        <x:v>880</x:v>
      </x:c>
      <x:c r="D6" s="48" t="s">
        <x:v>881</x:v>
      </x:c>
      <x:c r="E6" s="48" t="s">
        <x:v>876</x:v>
      </x:c>
      <x:c r="F6" s="49" t="b">
        <x:f aca="0">FALSE()</x:f>
        <x:v>0</x:v>
      </x:c>
      <x:c r="G6" s="48"/>
      <x:c r="H6" s="47" t="n">
        <x:v>0</x:v>
      </x:c>
    </x:row>
    <x:row r="7" ht="15" hidden="0" customHeight="1">
      <x:c r="A7" s="50" t="n">
        <x:v>105</x:v>
      </x:c>
      <x:c r="B7" s="51" t="s">
        <x:v>882</x:v>
      </x:c>
      <x:c r="C7" s="51" t="s">
        <x:v>883</x:v>
      </x:c>
      <x:c r="D7" s="51" t="s">
        <x:v>871</x:v>
      </x:c>
      <x:c r="E7" s="51" t="s">
        <x:v>872</x:v>
      </x:c>
      <x:c r="F7" s="52" t="b">
        <x:f aca="0">TRUE()</x:f>
        <x:v>1</x:v>
      </x:c>
      <x:c r="G7" s="51" t="s">
        <x:v>884</x:v>
      </x:c>
      <x:c r="H7" s="50" t="n">
        <x:v>12</x:v>
      </x:c>
    </x:row>
    <x:row r="8" ht="15" hidden="0" customHeight="1">
      <x:c r="A8" s="47" t="n">
        <x:v>106</x:v>
      </x:c>
      <x:c r="B8" s="48" t="s">
        <x:v>885</x:v>
      </x:c>
      <x:c r="C8" s="48" t="s">
        <x:v>886</x:v>
      </x:c>
      <x:c r="D8" s="48" t="s">
        <x:v>887</x:v>
      </x:c>
      <x:c r="E8" s="48" t="s">
        <x:v>888</x:v>
      </x:c>
      <x:c r="F8" s="49" t="b">
        <x:f aca="0">FALSE()</x:f>
        <x:v>0</x:v>
      </x:c>
      <x:c r="G8" s="48"/>
      <x:c r="H8" s="47" t="n">
        <x:v>13</x:v>
      </x:c>
    </x:row>
    <x:row r="11" ht="15" hidden="0" customHeight="1">
      <x:c r="A11" s="5" t="s">
        <x:v>889</x:v>
      </x:c>
    </x:row>
    <x:row r="12" ht="34.5" hidden="0" customHeight="1">
      <x:c r="A12" s="62" t="s">
        <x:v>890</x:v>
      </x:c>
      <x:c r="B12" s="62" t="s">
        <x:v>861</x:v>
      </x:c>
      <x:c r="C12" s="62" t="s">
        <x:v>891</x:v>
      </x:c>
      <x:c r="D12" s="62" t="s">
        <x:v>892</x:v>
      </x:c>
      <x:c r="E12" s="62" t="s">
        <x:v>893</x:v>
      </x:c>
      <x:c r="F12" s="62" t="s">
        <x:v>894</x:v>
      </x:c>
      <x:c r="G12" s="62" t="s">
        <x:v>895</x:v>
      </x:c>
      <x:c r="H12" s="62" t="s">
        <x:v>896</x:v>
      </x:c>
      <x:c r="I12" s="62" t="s">
        <x:v>897</x:v>
      </x:c>
      <x:c r="J12" s="62" t="s">
        <x:v>898</x:v>
      </x:c>
      <x:c r="K12" s="62" t="s">
        <x:v>899</x:v>
      </x:c>
      <x:c r="L12" s="62" t="s">
        <x:v>900</x:v>
      </x:c>
      <x:c r="M12" s="62" t="s">
        <x:v>901</x:v>
      </x:c>
      <x:c r="N12" s="62" t="s">
        <x:v>902</x:v>
      </x:c>
    </x:row>
    <x:row r="13" ht="15" hidden="0" customHeight="1">
      <x:c r="A13" s="50" t="n">
        <x:v>4001</x:v>
      </x:c>
      <x:c r="B13" s="50" t="n">
        <x:v>101</x:v>
      </x:c>
      <x:c r="C13" s="50" t="s">
        <x:v>903</x:v>
      </x:c>
      <x:c r="D13" s="51" t="s">
        <x:v>904</x:v>
      </x:c>
      <x:c r="E13" s="51" t="s">
        <x:v>905</x:v>
      </x:c>
      <x:c r="F13" s="51" t="s">
        <x:v>906</x:v>
      </x:c>
      <x:c r="G13" s="50" t="s">
        <x:v>907</x:v>
      </x:c>
      <x:c r="H13" s="51" t="n">
        <x:v>29.7449</x:v>
      </x:c>
      <x:c r="I13" s="51" t="n">
        <x:v>-95.3795</x:v>
      </x:c>
      <x:c r="J13" s="50" t="s">
        <x:v>908</x:v>
      </x:c>
      <x:c r="K13" s="52" t="b">
        <x:f aca="0">TRUE()</x:f>
        <x:v>1</x:v>
      </x:c>
      <x:c r="L13" s="52" t="b">
        <x:f aca="0">TRUE()</x:f>
        <x:v>1</x:v>
      </x:c>
      <x:c r="M13" s="52" t="b">
        <x:f aca="0">TRUE()</x:f>
        <x:v>1</x:v>
      </x:c>
      <x:c r="N13" s="57" t="n">
        <x:v>46218</x:v>
      </x:c>
    </x:row>
    <x:row r="14" ht="15" hidden="0" customHeight="1">
      <x:c r="A14" s="47" t="n">
        <x:v>4002</x:v>
      </x:c>
      <x:c r="B14" s="47" t="n">
        <x:v>102</x:v>
      </x:c>
      <x:c r="C14" s="47" t="s">
        <x:v>909</x:v>
      </x:c>
      <x:c r="D14" s="48" t="s">
        <x:v>910</x:v>
      </x:c>
      <x:c r="E14" s="48" t="s">
        <x:v>911</x:v>
      </x:c>
      <x:c r="F14" s="48" t="s">
        <x:v>906</x:v>
      </x:c>
      <x:c r="G14" s="47" t="s">
        <x:v>912</x:v>
      </x:c>
      <x:c r="H14" s="48" t="n">
        <x:v>29.7858</x:v>
      </x:c>
      <x:c r="I14" s="48" t="n">
        <x:v>-95.8244</x:v>
      </x:c>
      <x:c r="J14" s="47" t="s">
        <x:v>913</x:v>
      </x:c>
      <x:c r="K14" s="49" t="b">
        <x:f aca="0">TRUE()</x:f>
        <x:v>1</x:v>
      </x:c>
      <x:c r="L14" s="49" t="b">
        <x:f aca="0">TRUE()</x:f>
        <x:v>1</x:v>
      </x:c>
      <x:c r="M14" s="49" t="b">
        <x:f aca="0">TRUE()</x:f>
        <x:v>1</x:v>
      </x:c>
      <x:c r="N14" s="55" t="n">
        <x:v>46217</x:v>
      </x:c>
    </x:row>
    <x:row r="15" ht="15" hidden="0" customHeight="1">
      <x:c r="A15" s="50" t="n">
        <x:v>4003</x:v>
      </x:c>
      <x:c r="B15" s="50" t="n">
        <x:v>103</x:v>
      </x:c>
      <x:c r="C15" s="50" t="s">
        <x:v>914</x:v>
      </x:c>
      <x:c r="D15" s="51" t="s">
        <x:v>915</x:v>
      </x:c>
      <x:c r="E15" s="51" t="s">
        <x:v>916</x:v>
      </x:c>
      <x:c r="F15" s="51" t="s">
        <x:v>906</x:v>
      </x:c>
      <x:c r="G15" s="50" t="s">
        <x:v>917</x:v>
      </x:c>
      <x:c r="H15" s="51" t="n">
        <x:v>29.6197</x:v>
      </x:c>
      <x:c r="I15" s="51" t="n">
        <x:v>-95.6352</x:v>
      </x:c>
      <x:c r="J15" s="50" t="s">
        <x:v>918</x:v>
      </x:c>
      <x:c r="K15" s="52" t="b">
        <x:f aca="0">TRUE()</x:f>
        <x:v>1</x:v>
      </x:c>
      <x:c r="L15" s="52" t="b">
        <x:f aca="0">FALSE()</x:f>
        <x:v>0</x:v>
      </x:c>
      <x:c r="M15" s="52" t="b">
        <x:f aca="0">TRUE()</x:f>
        <x:v>1</x:v>
      </x:c>
      <x:c r="N15" s="57" t="n">
        <x:v>46213</x:v>
      </x:c>
    </x:row>
    <x:row r="16" ht="15" hidden="0" customHeight="1">
      <x:c r="A16" s="47" t="n">
        <x:v>4004</x:v>
      </x:c>
      <x:c r="B16" s="47" t="n">
        <x:v>104</x:v>
      </x:c>
      <x:c r="C16" s="47" t="s">
        <x:v>919</x:v>
      </x:c>
      <x:c r="D16" s="48" t="s">
        <x:v>920</x:v>
      </x:c>
      <x:c r="E16" s="48" t="s">
        <x:v>921</x:v>
      </x:c>
      <x:c r="F16" s="48" t="s">
        <x:v>906</x:v>
      </x:c>
      <x:c r="G16" s="47" t="s">
        <x:v>922</x:v>
      </x:c>
      <x:c r="H16" s="48" t="n">
        <x:v>29.6911</x:v>
      </x:c>
      <x:c r="I16" s="48" t="n">
        <x:v>-95.2091</x:v>
      </x:c>
      <x:c r="J16" s="47" t="s">
        <x:v>923</x:v>
      </x:c>
      <x:c r="K16" s="49" t="b">
        <x:f aca="0">TRUE()</x:f>
        <x:v>1</x:v>
      </x:c>
      <x:c r="L16" s="49" t="b">
        <x:f aca="0">FALSE()</x:f>
        <x:v>0</x:v>
      </x:c>
      <x:c r="M16" s="49" t="b">
        <x:f aca="0">TRUE()</x:f>
        <x:v>1</x:v>
      </x:c>
      <x:c r="N16" s="55" t="n">
        <x:v>46211</x:v>
      </x:c>
    </x:row>
    <x:row r="17" ht="15" hidden="0" customHeight="1">
      <x:c r="A17" s="50" t="n">
        <x:v>4005</x:v>
      </x:c>
      <x:c r="B17" s="50" t="n">
        <x:v>105</x:v>
      </x:c>
      <x:c r="C17" s="50" t="s">
        <x:v>883</x:v>
      </x:c>
      <x:c r="D17" s="51" t="s">
        <x:v>924</x:v>
      </x:c>
      <x:c r="E17" s="51"/>
      <x:c r="F17" s="51"/>
      <x:c r="G17" s="50"/>
      <x:c r="H17" s="51" t="n">
        <x:v>0</x:v>
      </x:c>
      <x:c r="I17" s="51" t="n">
        <x:v>0</x:v>
      </x:c>
      <x:c r="J17" s="50"/>
      <x:c r="K17" s="52" t="b">
        <x:f aca="0">FALSE()</x:f>
        <x:v>0</x:v>
      </x:c>
      <x:c r="L17" s="52" t="b">
        <x:f aca="0">FALSE()</x:f>
        <x:v>0</x:v>
      </x:c>
      <x:c r="M17" s="52" t="b">
        <x:f aca="0">TRUE()</x:f>
        <x:v>1</x:v>
      </x:c>
      <x:c r="N17" s="57" t="n">
        <x:v>46219</x:v>
      </x:c>
    </x:row>
  </x:sheetData>
  <x:pageMargins left="0.7" right="0.7" top="0.75" bottom="0.75" header="0.3" footer="0.3"/>
  <x:legacyDrawing xmlns:r="http://schemas.openxmlformats.org/officeDocument/2006/relationships" r:id="R5892812b4e21470c"/>
</x:worksheet>
</file>

<file path=xl/worksheets/sheet10.xml><?xml version="1.0" encoding="utf-8"?>
<x:worksheet xmlns:x="http://schemas.openxmlformats.org/spreadsheetml/2006/main">
  <x:sheetViews>
    <x:sheetView showGridLines="1" workbookViewId="0">
      <x:pane ySplit="2" topLeftCell="A3" activePane="bottomLeft" state="frozen"/>
    </x:sheetView>
  </x:sheetViews>
  <x:sheetFormatPr defaultColWidth="8.6796875" defaultRowHeight="15"/>
  <x:cols>
    <x:col min="1" max="1" width="15" style="1" hidden="0" customWidth="1"/>
    <x:col min="2" max="2" width="10" style="1" hidden="0" customWidth="1"/>
    <x:col min="3" max="3" width="14" style="1" hidden="0" customWidth="1"/>
    <x:col min="4" max="4" width="19" style="1" hidden="0" customWidth="1"/>
    <x:col min="5" max="5" width="20" style="1" hidden="0" customWidth="1"/>
    <x:col min="6" max="6" width="11" style="1" hidden="0" customWidth="1"/>
    <x:col min="7" max="7" width="19" style="1" hidden="0" customWidth="1"/>
    <x:col min="8" max="9" width="17" style="1" hidden="0" customWidth="1"/>
    <x:col min="10" max="10" width="13" style="1" hidden="0" customWidth="1"/>
  </x:cols>
  <x:sheetData>
    <x:row r="1" ht="15" hidden="0" customHeight="1">
      <x:c r="A1" s="5" t="s">
        <x:v>925</x:v>
      </x:c>
    </x:row>
    <x:row r="2" ht="30" hidden="0" customHeight="1">
      <x:c r="A2" s="46" t="s">
        <x:v>926</x:v>
      </x:c>
      <x:c r="B2" s="46" t="s">
        <x:v>890</x:v>
      </x:c>
      <x:c r="C2" s="46" t="s">
        <x:v>670</x:v>
      </x:c>
      <x:c r="D2" s="46" t="s">
        <x:v>672</x:v>
      </x:c>
      <x:c r="E2" s="46" t="s">
        <x:v>927</x:v>
      </x:c>
      <x:c r="F2" s="46" t="s">
        <x:v>928</x:v>
      </x:c>
      <x:c r="G2" s="46" t="s">
        <x:v>929</x:v>
      </x:c>
      <x:c r="H2" s="46" t="s">
        <x:v>930</x:v>
      </x:c>
      <x:c r="I2" s="46" t="s">
        <x:v>931</x:v>
      </x:c>
      <x:c r="J2" s="46" t="s">
        <x:v>932</x:v>
      </x:c>
    </x:row>
    <x:row r="3" ht="15" hidden="0" customHeight="1">
      <x:c r="A3" s="50" t="s">
        <x:v>933</x:v>
      </x:c>
      <x:c r="B3" s="50" t="n">
        <x:v>4001</x:v>
      </x:c>
      <x:c r="C3" s="50" t="s">
        <x:v>685</x:v>
      </x:c>
      <x:c r="D3" s="50" t="s">
        <x:v>695</x:v>
      </x:c>
      <x:c r="E3" s="51" t="s">
        <x:v>934</x:v>
      </x:c>
      <x:c r="F3" s="51" t="n">
        <x:v>3</x:v>
      </x:c>
      <x:c r="G3" s="63" t="n">
        <x:v>46219.3833333333</x:v>
      </x:c>
      <x:c r="H3" s="51" t="s">
        <x:v>887</x:v>
      </x:c>
      <x:c r="I3" s="50" t="s">
        <x:v>935</x:v>
      </x:c>
      <x:c r="J3" s="51" t="n">
        <x:v>15</x:v>
      </x:c>
    </x:row>
    <x:row r="4" ht="15" hidden="0" customHeight="1">
      <x:c r="A4" s="47" t="s">
        <x:v>936</x:v>
      </x:c>
      <x:c r="B4" s="47" t="n">
        <x:v>4002</x:v>
      </x:c>
      <x:c r="C4" s="47" t="s">
        <x:v>685</x:v>
      </x:c>
      <x:c r="D4" s="47" t="s">
        <x:v>695</x:v>
      </x:c>
      <x:c r="E4" s="48" t="s">
        <x:v>937</x:v>
      </x:c>
      <x:c r="F4" s="48" t="n">
        <x:v>1</x:v>
      </x:c>
      <x:c r="G4" s="64" t="n">
        <x:v>46219.3194444445</x:v>
      </x:c>
      <x:c r="H4" s="48" t="s">
        <x:v>938</x:v>
      </x:c>
      <x:c r="I4" s="47" t="s">
        <x:v>939</x:v>
      </x:c>
      <x:c r="J4" s="48" t="n">
        <x:v>10080</x:v>
      </x:c>
    </x:row>
    <x:row r="5" ht="15" hidden="0" customHeight="1">
      <x:c r="A5" s="50" t="s">
        <x:v>940</x:v>
      </x:c>
      <x:c r="B5" s="50" t="n">
        <x:v>4003</x:v>
      </x:c>
      <x:c r="C5" s="50" t="s">
        <x:v>685</x:v>
      </x:c>
      <x:c r="D5" s="50" t="s">
        <x:v>695</x:v>
      </x:c>
      <x:c r="E5" s="51" t="s">
        <x:v>941</x:v>
      </x:c>
      <x:c r="F5" s="51"/>
      <x:c r="G5" s="63" t="n">
        <x:v>46218.6805555556</x:v>
      </x:c>
      <x:c r="H5" s="51" t="s">
        <x:v>938</x:v>
      </x:c>
      <x:c r="I5" s="50" t="s">
        <x:v>939</x:v>
      </x:c>
      <x:c r="J5" s="51" t="n">
        <x:v>10080</x:v>
      </x:c>
    </x:row>
    <x:row r="6" ht="15" hidden="0" customHeight="1">
      <x:c r="A6" s="47" t="s">
        <x:v>942</x:v>
      </x:c>
      <x:c r="B6" s="47" t="n">
        <x:v>4004</x:v>
      </x:c>
      <x:c r="C6" s="47" t="s">
        <x:v>685</x:v>
      </x:c>
      <x:c r="D6" s="47" t="s">
        <x:v>695</x:v>
      </x:c>
      <x:c r="E6" s="48" t="s">
        <x:v>934</x:v>
      </x:c>
      <x:c r="F6" s="48"/>
      <x:c r="G6" s="64" t="n">
        <x:v>46217.3541666667</x:v>
      </x:c>
      <x:c r="H6" s="48" t="s">
        <x:v>943</x:v>
      </x:c>
      <x:c r="I6" s="47" t="s">
        <x:v>944</x:v>
      </x:c>
      <x:c r="J6" s="48" t="n">
        <x:v>2880</x:v>
      </x:c>
    </x:row>
    <x:row r="7" ht="15" hidden="0" customHeight="1">
      <x:c r="A7" s="50" t="s">
        <x:v>945</x:v>
      </x:c>
      <x:c r="B7" s="50" t="n">
        <x:v>4005</x:v>
      </x:c>
      <x:c r="C7" s="50" t="s">
        <x:v>685</x:v>
      </x:c>
      <x:c r="D7" s="50" t="s">
        <x:v>695</x:v>
      </x:c>
      <x:c r="E7" s="51" t="s">
        <x:v>946</x:v>
      </x:c>
      <x:c r="F7" s="51"/>
      <x:c r="G7" s="63" t="n">
        <x:v>46219.125</x:v>
      </x:c>
      <x:c r="H7" s="51" t="s">
        <x:v>871</x:v>
      </x:c>
      <x:c r="I7" s="50" t="s">
        <x:v>947</x:v>
      </x:c>
      <x:c r="J7" s="51" t="n">
        <x:v>1440</x:v>
      </x:c>
    </x:row>
    <x:row r="8" ht="15" hidden="0" customHeight="1">
      <x:c r="A8" s="47" t="s">
        <x:v>948</x:v>
      </x:c>
      <x:c r="B8" s="47" t="n">
        <x:v>4001</x:v>
      </x:c>
      <x:c r="C8" s="47" t="s">
        <x:v>685</x:v>
      </x:c>
      <x:c r="D8" s="47" t="s">
        <x:v>711</x:v>
      </x:c>
      <x:c r="E8" s="48" t="s">
        <x:v>934</x:v>
      </x:c>
      <x:c r="F8" s="48" t="n">
        <x:v>11</x:v>
      </x:c>
      <x:c r="G8" s="64" t="n">
        <x:v>46219.3833333333</x:v>
      </x:c>
      <x:c r="H8" s="48" t="s">
        <x:v>887</x:v>
      </x:c>
      <x:c r="I8" s="47" t="s">
        <x:v>935</x:v>
      </x:c>
      <x:c r="J8" s="48" t="n">
        <x:v>15</x:v>
      </x:c>
    </x:row>
    <x:row r="9" ht="15" hidden="0" customHeight="1">
      <x:c r="A9" s="50" t="s">
        <x:v>949</x:v>
      </x:c>
      <x:c r="B9" s="50" t="n">
        <x:v>4001</x:v>
      </x:c>
      <x:c r="C9" s="50" t="s">
        <x:v>685</x:v>
      </x:c>
      <x:c r="D9" s="50" t="s">
        <x:v>695</x:v>
      </x:c>
      <x:c r="E9" s="51" t="s">
        <x:v>950</x:v>
      </x:c>
      <x:c r="F9" s="51" t="n">
        <x:v>0</x:v>
      </x:c>
      <x:c r="G9" s="63" t="n">
        <x:v>46218.3833333333</x:v>
      </x:c>
      <x:c r="H9" s="51" t="s">
        <x:v>887</x:v>
      </x:c>
      <x:c r="I9" s="50" t="s">
        <x:v>935</x:v>
      </x:c>
      <x:c r="J9" s="51" t="n">
        <x:v>15</x:v>
      </x:c>
    </x:row>
    <x:row r="12" ht="15" hidden="0" customHeight="1">
      <x:c r="A12" s="5" t="s">
        <x:v>951</x:v>
      </x:c>
    </x:row>
    <x:row r="13" ht="23.25" hidden="0" customHeight="1">
      <x:c r="A13" s="62" t="s">
        <x:v>952</x:v>
      </x:c>
      <x:c r="B13" s="62" t="s">
        <x:v>890</x:v>
      </x:c>
      <x:c r="C13" s="62" t="s">
        <x:v>670</x:v>
      </x:c>
      <x:c r="D13" s="62" t="s">
        <x:v>672</x:v>
      </x:c>
      <x:c r="E13" s="62" t="s">
        <x:v>953</x:v>
      </x:c>
      <x:c r="F13" s="62" t="s">
        <x:v>954</x:v>
      </x:c>
      <x:c r="G13" s="62" t="s">
        <x:v>682</x:v>
      </x:c>
      <x:c r="H13" s="62" t="s">
        <x:v>955</x:v>
      </x:c>
      <x:c r="I13" s="62" t="s">
        <x:v>956</x:v>
      </x:c>
      <x:c r="J13" s="62" t="s">
        <x:v>957</x:v>
      </x:c>
      <x:c r="K13" s="62" t="s">
        <x:v>929</x:v>
      </x:c>
      <x:c r="L13" s="62" t="s">
        <x:v>930</x:v>
      </x:c>
    </x:row>
    <x:row r="14" ht="15" hidden="0" customHeight="1">
      <x:c r="A14" s="47" t="s">
        <x:v>958</x:v>
      </x:c>
      <x:c r="B14" s="47" t="n">
        <x:v>4001</x:v>
      </x:c>
      <x:c r="C14" s="47" t="s">
        <x:v>685</x:v>
      </x:c>
      <x:c r="D14" s="47" t="s">
        <x:v>695</x:v>
      </x:c>
      <x:c r="E14" s="65" t="n">
        <x:v>189.99</x:v>
      </x:c>
      <x:c r="F14" s="48" t="s">
        <x:v>959</x:v>
      </x:c>
      <x:c r="G14" s="65" t="n">
        <x:v>65</x:v>
      </x:c>
      <x:c r="H14" s="48" t="s">
        <x:v>960</x:v>
      </x:c>
      <x:c r="I14" s="49" t="b">
        <x:f aca="0">TRUE()</x:f>
        <x:v>1</x:v>
      </x:c>
      <x:c r="J14" s="48" t="n">
        <x:v>0</x:v>
      </x:c>
      <x:c r="K14" s="64" t="n">
        <x:v>46219.3833333333</x:v>
      </x:c>
      <x:c r="L14" s="48" t="s">
        <x:v>887</x:v>
      </x:c>
    </x:row>
    <x:row r="15" ht="15" hidden="0" customHeight="1">
      <x:c r="A15" s="50" t="s">
        <x:v>961</x:v>
      </x:c>
      <x:c r="B15" s="50" t="n">
        <x:v>4002</x:v>
      </x:c>
      <x:c r="C15" s="50" t="s">
        <x:v>685</x:v>
      </x:c>
      <x:c r="D15" s="50" t="s">
        <x:v>695</x:v>
      </x:c>
      <x:c r="E15" s="66" t="n">
        <x:v>204.99</x:v>
      </x:c>
      <x:c r="F15" s="51" t="s">
        <x:v>959</x:v>
      </x:c>
      <x:c r="G15" s="66" t="n">
        <x:v>65</x:v>
      </x:c>
      <x:c r="H15" s="51"/>
      <x:c r="I15" s="52" t="b">
        <x:f aca="0">TRUE()</x:f>
        <x:v>1</x:v>
      </x:c>
      <x:c r="J15" s="51" t="n">
        <x:v>0</x:v>
      </x:c>
      <x:c r="K15" s="63" t="n">
        <x:v>46219.3194444445</x:v>
      </x:c>
      <x:c r="L15" s="51" t="s">
        <x:v>938</x:v>
      </x:c>
    </x:row>
    <x:row r="16" ht="15" hidden="0" customHeight="1">
      <x:c r="A16" s="47" t="s">
        <x:v>962</x:v>
      </x:c>
      <x:c r="B16" s="47" t="n">
        <x:v>4003</x:v>
      </x:c>
      <x:c r="C16" s="47" t="s">
        <x:v>685</x:v>
      </x:c>
      <x:c r="D16" s="47" t="s">
        <x:v>695</x:v>
      </x:c>
      <x:c r="E16" s="65" t="n">
        <x:v>412</x:v>
      </x:c>
      <x:c r="F16" s="48" t="s">
        <x:v>959</x:v>
      </x:c>
      <x:c r="G16" s="65" t="n">
        <x:v>0</x:v>
      </x:c>
      <x:c r="H16" s="48"/>
      <x:c r="I16" s="49" t="b">
        <x:f aca="0">TRUE()</x:f>
        <x:v>1</x:v>
      </x:c>
      <x:c r="J16" s="48" t="n">
        <x:v>2</x:v>
      </x:c>
      <x:c r="K16" s="64" t="n">
        <x:v>46218.6805555556</x:v>
      </x:c>
      <x:c r="L16" s="48" t="s">
        <x:v>938</x:v>
      </x:c>
    </x:row>
    <x:row r="17" ht="15" hidden="0" customHeight="1">
      <x:c r="A17" s="50" t="s">
        <x:v>963</x:v>
      </x:c>
      <x:c r="B17" s="50" t="n">
        <x:v>4004</x:v>
      </x:c>
      <x:c r="C17" s="50" t="s">
        <x:v>685</x:v>
      </x:c>
      <x:c r="D17" s="50" t="s">
        <x:v>695</x:v>
      </x:c>
      <x:c r="E17" s="66" t="n">
        <x:v>75</x:v>
      </x:c>
      <x:c r="F17" s="51" t="s">
        <x:v>959</x:v>
      </x:c>
      <x:c r="G17" s="66" t="n">
        <x:v>0</x:v>
      </x:c>
      <x:c r="H17" s="51"/>
      <x:c r="I17" s="52" t="b">
        <x:f aca="0">TRUE()</x:f>
        <x:v>1</x:v>
      </x:c>
      <x:c r="J17" s="51" t="n">
        <x:v>0</x:v>
      </x:c>
      <x:c r="K17" s="63" t="n">
        <x:v>46217.3541666667</x:v>
      </x:c>
      <x:c r="L17" s="51" t="s">
        <x:v>943</x:v>
      </x:c>
    </x:row>
    <x:row r="18" ht="15" hidden="0" customHeight="1">
      <x:c r="A18" s="47" t="s">
        <x:v>964</x:v>
      </x:c>
      <x:c r="B18" s="47" t="n">
        <x:v>4005</x:v>
      </x:c>
      <x:c r="C18" s="47" t="s">
        <x:v>685</x:v>
      </x:c>
      <x:c r="D18" s="47" t="s">
        <x:v>695</x:v>
      </x:c>
      <x:c r="E18" s="65" t="n">
        <x:v>176.5</x:v>
      </x:c>
      <x:c r="F18" s="48" t="s">
        <x:v>965</x:v>
      </x:c>
      <x:c r="G18" s="65" t="n">
        <x:v>65</x:v>
      </x:c>
      <x:c r="H18" s="48" t="s">
        <x:v>966</x:v>
      </x:c>
      <x:c r="I18" s="49" t="b">
        <x:f aca="0">FALSE()</x:f>
        <x:v>0</x:v>
      </x:c>
      <x:c r="J18" s="48" t="n">
        <x:v>3</x:v>
      </x:c>
      <x:c r="K18" s="64" t="n">
        <x:v>46219.125</x:v>
      </x:c>
      <x:c r="L18" s="48" t="s">
        <x:v>871</x:v>
      </x:c>
    </x:row>
  </x:sheetData>
  <x:pageMargins left="0.7" right="0.7" top="0.75" bottom="0.75" header="0.3" footer="0.3"/>
  <x:legacyDrawing xmlns:r="http://schemas.openxmlformats.org/officeDocument/2006/relationships" r:id="Rf9c4d36e31ea4f48"/>
</x:worksheet>
</file>

<file path=xl/worksheets/sheet11.xml><?xml version="1.0" encoding="utf-8"?>
<x:worksheet xmlns:x="http://schemas.openxmlformats.org/spreadsheetml/2006/main">
  <x:sheetViews>
    <x:sheetView showGridLines="1" workbookViewId="0"/>
  </x:sheetViews>
  <x:sheetFormatPr defaultColWidth="8.6796875" defaultRowHeight="15"/>
  <x:cols>
    <x:col min="1" max="1" width="27" style="1" hidden="0" customWidth="1"/>
    <x:col min="2" max="2" width="15" style="1" hidden="0" customWidth="1"/>
    <x:col min="3" max="3" width="18" style="1" hidden="0" customWidth="1"/>
    <x:col min="4" max="4" width="9" style="1" hidden="0" customWidth="1"/>
    <x:col min="5" max="5" width="16" style="1" hidden="0" customWidth="1"/>
    <x:col min="6" max="6" width="9" style="1" hidden="0" customWidth="1"/>
    <x:col min="7" max="7" width="12" style="1" hidden="0" customWidth="1"/>
    <x:col min="8" max="8" width="15" style="1" hidden="0" customWidth="1"/>
    <x:col min="9" max="9" width="12" style="1" hidden="0" customWidth="1"/>
    <x:col min="10" max="10" width="10" style="1" hidden="0" customWidth="1"/>
    <x:col min="11" max="11" width="14" style="1" hidden="0" customWidth="1"/>
    <x:col min="12" max="13" width="12" style="1" hidden="0" customWidth="1"/>
    <x:col min="14" max="14" width="10" style="1" hidden="0" customWidth="1"/>
    <x:col min="15" max="15" width="9" style="1" hidden="0" customWidth="1"/>
    <x:col min="16" max="17" width="11" style="1" hidden="0" customWidth="1"/>
    <x:col min="18" max="18" width="10" style="1" hidden="0" customWidth="1"/>
    <x:col min="19" max="19" width="11" style="1" hidden="0" customWidth="1"/>
    <x:col min="20" max="20" width="12" style="1" hidden="0" customWidth="1"/>
    <x:col min="21" max="21" width="9" style="1" hidden="0" customWidth="1"/>
    <x:col min="22" max="22" width="7" style="1" hidden="0" customWidth="1"/>
  </x:cols>
  <x:sheetData>
    <x:row r="1" ht="19.5" hidden="0" customHeight="1">
      <x:c r="A1" s="2" t="s">
        <x:v>967</x:v>
      </x:c>
    </x:row>
    <x:row r="2" ht="15" hidden="0" customHeight="1">
      <x:c r="A2" s="3" t="s">
        <x:v>968</x:v>
      </x:c>
    </x:row>
    <x:row r="4" ht="15" hidden="0" customHeight="1">
      <x:c r="A4" s="5" t="s">
        <x:v>969</x:v>
      </x:c>
      <x:c r="G4" s="5" t="s">
        <x:v>970</x:v>
      </x:c>
      <x:c r="J4" s="5" t="s">
        <x:v>971</x:v>
      </x:c>
    </x:row>
    <x:row r="5" ht="15" hidden="0" customHeight="1">
      <x:c r="A5" s="6" t="s">
        <x:v>972</x:v>
      </x:c>
      <x:c r="B5" s="67" t="n">
        <x:v>46219.3909722222</x:v>
      </x:c>
      <x:c r="G5" s="8" t="s">
        <x:v>934</x:v>
      </x:c>
      <x:c r="H5" s="68" t="n">
        <x:v>1</x:v>
      </x:c>
      <x:c r="J5" s="8" t="s">
        <x:v>887</x:v>
      </x:c>
      <x:c r="K5" s="68" t="n">
        <x:v>1</x:v>
      </x:c>
    </x:row>
    <x:row r="6" ht="15" hidden="0" customHeight="1">
      <x:c r="A6" s="6" t="s">
        <x:v>973</x:v>
      </x:c>
      <x:c r="B6" s="69" t="n">
        <x:v>0.35</x:v>
      </x:c>
      <x:c r="C6" s="70" t="n">
        <x:f aca="0">SUM(B6:B10)</x:f>
        <x:v>1</x:v>
      </x:c>
      <x:c r="D6" s="3" t="s">
        <x:v>974</x:v>
      </x:c>
      <x:c r="G6" s="8" t="s">
        <x:v>937</x:v>
      </x:c>
      <x:c r="H6" s="68" t="n">
        <x:v>0.7</x:v>
      </x:c>
      <x:c r="J6" s="8" t="s">
        <x:v>871</x:v>
      </x:c>
      <x:c r="K6" s="68" t="n">
        <x:v>0.6</x:v>
      </x:c>
    </x:row>
    <x:row r="7" ht="15" hidden="0" customHeight="1">
      <x:c r="A7" s="6" t="s">
        <x:v>975</x:v>
      </x:c>
      <x:c r="B7" s="69" t="n">
        <x:v>0.25</x:v>
      </x:c>
      <x:c r="G7" s="8" t="s">
        <x:v>941</x:v>
      </x:c>
      <x:c r="H7" s="68" t="n">
        <x:v>0.3</x:v>
      </x:c>
      <x:c r="J7" s="8" t="s">
        <x:v>938</x:v>
      </x:c>
      <x:c r="K7" s="68" t="n">
        <x:v>0.8</x:v>
      </x:c>
    </x:row>
    <x:row r="8" ht="15" hidden="0" customHeight="1">
      <x:c r="A8" s="6" t="s">
        <x:v>976</x:v>
      </x:c>
      <x:c r="B8" s="69" t="n">
        <x:v>0.2</x:v>
      </x:c>
      <x:c r="G8" s="8" t="s">
        <x:v>946</x:v>
      </x:c>
      <x:c r="H8" s="68" t="n">
        <x:v>0.2</x:v>
      </x:c>
      <x:c r="J8" s="8" t="s">
        <x:v>943</x:v>
      </x:c>
      <x:c r="K8" s="68" t="n">
        <x:v>0.5</x:v>
      </x:c>
    </x:row>
    <x:row r="9" ht="15" hidden="0" customHeight="1">
      <x:c r="A9" s="6" t="s">
        <x:v>977</x:v>
      </x:c>
      <x:c r="B9" s="69" t="n">
        <x:v>0.15</x:v>
      </x:c>
      <x:c r="G9" s="8" t="s">
        <x:v>950</x:v>
      </x:c>
      <x:c r="H9" s="68" t="n">
        <x:v>0</x:v>
      </x:c>
      <x:c r="J9" s="8" t="s">
        <x:v>978</x:v>
      </x:c>
      <x:c r="K9" s="68" t="n">
        <x:v>0.2</x:v>
      </x:c>
    </x:row>
    <x:row r="10" ht="15" hidden="0" customHeight="1">
      <x:c r="A10" s="6" t="s">
        <x:v>979</x:v>
      </x:c>
      <x:c r="B10" s="69" t="n">
        <x:v>0.05</x:v>
      </x:c>
    </x:row>
    <x:row r="12" ht="15" hidden="0" customHeight="1">
      <x:c r="A12" s="9" t="s">
        <x:v>980</x:v>
      </x:c>
    </x:row>
    <x:row r="15" ht="33.75" hidden="0" customHeight="1">
      <x:c r="A15" s="71" t="s">
        <x:v>981</x:v>
      </x:c>
      <x:c r="B15" s="71" t="s">
        <x:v>982</x:v>
      </x:c>
      <x:c r="C15" s="71" t="s">
        <x:v>929</x:v>
      </x:c>
      <x:c r="D15" s="71" t="s">
        <x:v>983</x:v>
      </x:c>
      <x:c r="E15" s="71" t="s">
        <x:v>930</x:v>
      </x:c>
      <x:c r="F15" s="71" t="s">
        <x:v>984</x:v>
      </x:c>
      <x:c r="G15" s="71" t="s">
        <x:v>985</x:v>
      </x:c>
      <x:c r="H15" s="71" t="s">
        <x:v>986</x:v>
      </x:c>
      <x:c r="I15" s="71" t="s">
        <x:v>987</x:v>
      </x:c>
      <x:c r="J15" s="71" t="s">
        <x:v>988</x:v>
      </x:c>
      <x:c r="K15" s="71" t="s">
        <x:v>989</x:v>
      </x:c>
      <x:c r="L15" s="71" t="s">
        <x:v>990</x:v>
      </x:c>
      <x:c r="M15" s="71" t="s">
        <x:v>991</x:v>
      </x:c>
      <x:c r="N15" s="71" t="s">
        <x:v>992</x:v>
      </x:c>
      <x:c r="O15" s="71" t="s">
        <x:v>993</x:v>
      </x:c>
      <x:c r="P15" s="71" t="s">
        <x:v>994</x:v>
      </x:c>
      <x:c r="Q15" s="71" t="s">
        <x:v>995</x:v>
      </x:c>
      <x:c r="R15" s="71" t="s">
        <x:v>996</x:v>
      </x:c>
      <x:c r="S15" s="71" t="s">
        <x:v>997</x:v>
      </x:c>
      <x:c r="T15" s="71" t="s">
        <x:v>998</x:v>
      </x:c>
      <x:c r="U15" s="71" t="s">
        <x:v>999</x:v>
      </x:c>
      <x:c r="V15" s="71" t="s">
        <x:v>1000</x:v>
      </x:c>
    </x:row>
    <x:row r="16" ht="15" hidden="0" customHeight="1">
      <x:c r="A16" s="72" t="s">
        <x:v>1001</x:v>
      </x:c>
      <x:c r="B16" s="73" t="s">
        <x:v>934</x:v>
      </x:c>
      <x:c r="C16" s="74" t="n">
        <x:v>46219.3833333333</x:v>
      </x:c>
      <x:c r="D16" s="73" t="n">
        <x:v>15</x:v>
      </x:c>
      <x:c r="E16" s="73" t="s">
        <x:v>887</x:v>
      </x:c>
      <x:c r="F16" s="75" t="n">
        <x:f aca="0">($B$5-C16)*24</x:f>
        <x:v>0.18333333358168602</x:v>
      </x:c>
      <x:c r="G16" s="76" t="n">
        <x:f aca="0">IF(F16&lt;=D16/60,1,IF(F16&lt;24,0.7,IF(F16&lt;168,0.3,0)))</x:f>
        <x:v>1</x:v>
      </x:c>
      <x:c r="H16" s="77" t="str">
        <x:f aca="0">IF(G16=0,"SUPPRESSED",IF(G16&lt;=0.3,"UNKNOWN",B16))</x:f>
        <x:v>IN_STOCK</x:v>
      </x:c>
      <x:c r="I16" s="76" t="n">
        <x:f aca="0">IF(H16="SUPPRESSED",0,INDEX($H$5:$H$9,MATCH(H16,$G$5:$G$9,0)))</x:f>
        <x:v>1</x:v>
      </x:c>
      <x:c r="J16" s="76" t="n">
        <x:f aca="0">INDEX($K$5:$K$9,MATCH(E16,$J$5:$J$9,0))</x:f>
        <x:v>1</x:v>
      </x:c>
      <x:c r="K16" s="78" t="n">
        <x:f aca="0">G16*I16*J16</x:f>
        <x:v>1</x:v>
      </x:c>
      <x:c r="L16" s="73" t="n">
        <x:v>0</x:v>
      </x:c>
      <x:c r="M16" s="76" t="n">
        <x:f aca="0">IF(L16=0,IF(H16="IN_STOCK",1,0.7),IF(L16&lt;=1,0.4,IF(L16&lt;=3,0.2,0.1)))</x:f>
        <x:v>1</x:v>
      </x:c>
      <x:c r="N16" s="79" t="n">
        <x:v>189.99</x:v>
      </x:c>
      <x:c r="O16" s="79" t="n">
        <x:v>65</x:v>
      </x:c>
      <x:c r="P16" s="80" t="n">
        <x:f aca="0">N16+O16</x:f>
        <x:v>254.99</x:v>
      </x:c>
      <x:c r="Q16" s="76" t="n">
        <x:f aca="0">IFERROR(1-(P16-MIN($P$16:$P$20))/(MAX($P$16:$P$20)-MIN($P$16:$P$20)),1)</x:f>
        <x:v>0.4659050445103857</x:v>
      </x:c>
      <x:c r="R16" s="73" t="n">
        <x:v>14</x:v>
      </x:c>
      <x:c r="S16" s="76" t="n">
        <x:f aca="0">IF(R16&gt;=999,0,MAX(0,1-R16/60))</x:f>
        <x:v>0.7666666666666666</x:v>
      </x:c>
      <x:c r="T16" s="81" t="n">
        <x:v>0.96</x:v>
      </x:c>
      <x:c r="U16" s="82" t="n">
        <x:f aca="0">$B$6*K16+$B$7*M16+$B$8*Q16+$B$9*S16+$B$10*T16</x:f>
        <x:v>0.8561810089020772</x:v>
      </x:c>
      <x:c r="V16" s="83" t="n">
        <x:f aca="0">RANK(U16,$U$16:$U$20)</x:f>
        <x:v>1</x:v>
      </x:c>
    </x:row>
    <x:row r="17" ht="15" hidden="0" customHeight="1">
      <x:c r="A17" s="72" t="s">
        <x:v>1002</x:v>
      </x:c>
      <x:c r="B17" s="73" t="s">
        <x:v>937</x:v>
      </x:c>
      <x:c r="C17" s="74" t="n">
        <x:v>46219.3194444445</x:v>
      </x:c>
      <x:c r="D17" s="73" t="n">
        <x:v>10080</x:v>
      </x:c>
      <x:c r="E17" s="73" t="s">
        <x:v>938</x:v>
      </x:c>
      <x:c r="F17" s="75" t="n">
        <x:f aca="0">($B$5-C17)*24</x:f>
        <x:v>1.7166666647535749</x:v>
      </x:c>
      <x:c r="G17" s="76" t="n">
        <x:f aca="0">IF(F17&lt;=D17/60,1,IF(F17&lt;24,0.7,IF(F17&lt;168,0.3,0)))</x:f>
        <x:v>1</x:v>
      </x:c>
      <x:c r="H17" s="77" t="str">
        <x:f aca="0">IF(G17=0,"SUPPRESSED",IF(G17&lt;=0.3,"UNKNOWN",B17))</x:f>
        <x:v>LOW_STOCK</x:v>
      </x:c>
      <x:c r="I17" s="76" t="n">
        <x:f aca="0">IF(H17="SUPPRESSED",0,INDEX($H$5:$H$9,MATCH(H17,$G$5:$G$9,0)))</x:f>
        <x:v>0.7</x:v>
      </x:c>
      <x:c r="J17" s="76" t="n">
        <x:f aca="0">INDEX($K$5:$K$9,MATCH(E17,$J$5:$J$9,0))</x:f>
        <x:v>0.8</x:v>
      </x:c>
      <x:c r="K17" s="78" t="n">
        <x:f aca="0">G17*I17*J17</x:f>
        <x:v>0.5599999999999999</x:v>
      </x:c>
      <x:c r="L17" s="73" t="n">
        <x:v>0</x:v>
      </x:c>
      <x:c r="M17" s="76" t="n">
        <x:f aca="0">IF(L17=0,IF(H17="IN_STOCK",1,0.7),IF(L17&lt;=1,0.4,IF(L17&lt;=3,0.2,0.1)))</x:f>
        <x:v>0.7</x:v>
      </x:c>
      <x:c r="N17" s="79" t="n">
        <x:v>204.99</x:v>
      </x:c>
      <x:c r="O17" s="79" t="n">
        <x:v>65</x:v>
      </x:c>
      <x:c r="P17" s="80" t="n">
        <x:f aca="0">N17+O17</x:f>
        <x:v>269.99</x:v>
      </x:c>
      <x:c r="Q17" s="76" t="n">
        <x:f aca="0">IFERROR(1-(P17-MIN($P$16:$P$20))/(MAX($P$16:$P$20)-MIN($P$16:$P$20)),1)</x:f>
        <x:v>0.4213946587537092</x:v>
      </x:c>
      <x:c r="R17" s="73" t="n">
        <x:v>31</x:v>
      </x:c>
      <x:c r="S17" s="76" t="n">
        <x:f aca="0">IF(R17&gt;=999,0,MAX(0,1-R17/60))</x:f>
        <x:v>0.4833333333333333</x:v>
      </x:c>
      <x:c r="T17" s="81" t="n">
        <x:v>0.88</x:v>
      </x:c>
      <x:c r="U17" s="82" t="n">
        <x:f aca="0">$B$6*K17+$B$7*M17+$B$8*Q17+$B$9*S17+$B$10*T17</x:f>
        <x:v>0.5717789317507419</x:v>
      </x:c>
      <x:c r="V17" s="83" t="n">
        <x:f aca="0">RANK(U17,$U$16:$U$20)</x:f>
        <x:v>2</x:v>
      </x:c>
    </x:row>
    <x:row r="18" ht="15" hidden="0" customHeight="1">
      <x:c r="A18" s="72" t="s">
        <x:v>1003</x:v>
      </x:c>
      <x:c r="B18" s="73" t="s">
        <x:v>941</x:v>
      </x:c>
      <x:c r="C18" s="74" t="n">
        <x:v>46218.6805555556</x:v>
      </x:c>
      <x:c r="D18" s="73" t="n">
        <x:v>10080</x:v>
      </x:c>
      <x:c r="E18" s="73" t="s">
        <x:v>938</x:v>
      </x:c>
      <x:c r="F18" s="75" t="n">
        <x:f aca="0">($B$5-C18)*24</x:f>
        <x:v>17.04999999847496</x:v>
      </x:c>
      <x:c r="G18" s="76" t="n">
        <x:f aca="0">IF(F18&lt;=D18/60,1,IF(F18&lt;24,0.7,IF(F18&lt;168,0.3,0)))</x:f>
        <x:v>1</x:v>
      </x:c>
      <x:c r="H18" s="77" t="str">
        <x:f aca="0">IF(G18=0,"SUPPRESSED",IF(G18&lt;=0.3,"UNKNOWN",B18))</x:f>
        <x:v>SPECIAL_ORDER</x:v>
      </x:c>
      <x:c r="I18" s="76" t="n">
        <x:f aca="0">IF(H18="SUPPRESSED",0,INDEX($H$5:$H$9,MATCH(H18,$G$5:$G$9,0)))</x:f>
        <x:v>0.3</x:v>
      </x:c>
      <x:c r="J18" s="76" t="n">
        <x:f aca="0">INDEX($K$5:$K$9,MATCH(E18,$J$5:$J$9,0))</x:f>
        <x:v>0.8</x:v>
      </x:c>
      <x:c r="K18" s="78" t="n">
        <x:f aca="0">G18*I18*J18</x:f>
        <x:v>0.24</x:v>
      </x:c>
      <x:c r="L18" s="73" t="n">
        <x:v>2</x:v>
      </x:c>
      <x:c r="M18" s="76" t="n">
        <x:f aca="0">IF(L18=0,IF(H18="IN_STOCK",1,0.7),IF(L18&lt;=1,0.4,IF(L18&lt;=3,0.2,0.1)))</x:f>
        <x:v>0.2</x:v>
      </x:c>
      <x:c r="N18" s="79" t="n">
        <x:v>412</x:v>
      </x:c>
      <x:c r="O18" s="79" t="n">
        <x:v>0</x:v>
      </x:c>
      <x:c r="P18" s="80" t="n">
        <x:f aca="0">N18+O18</x:f>
        <x:v>412</x:v>
      </x:c>
      <x:c r="Q18" s="76" t="n">
        <x:f aca="0">IFERROR(1-(P18-MIN($P$16:$P$20))/(MAX($P$16:$P$20)-MIN($P$16:$P$20)),1)</x:f>
        <x:v>0</x:v>
      </x:c>
      <x:c r="R18" s="73" t="n">
        <x:v>38</x:v>
      </x:c>
      <x:c r="S18" s="76" t="n">
        <x:f aca="0">IF(R18&gt;=999,0,MAX(0,1-R18/60))</x:f>
        <x:v>0.3666666666666667</x:v>
      </x:c>
      <x:c r="T18" s="81" t="n">
        <x:v>0.94</x:v>
      </x:c>
      <x:c r="U18" s="82" t="n">
        <x:f aca="0">$B$6*K18+$B$7*M18+$B$8*Q18+$B$9*S18+$B$10*T18</x:f>
        <x:v>0.236</x:v>
      </x:c>
      <x:c r="V18" s="83" t="n">
        <x:f aca="0">RANK(U18,$U$16:$U$20)</x:f>
        <x:v>5</x:v>
      </x:c>
    </x:row>
    <x:row r="19" ht="15" hidden="0" customHeight="1">
      <x:c r="A19" s="72" t="s">
        <x:v>1004</x:v>
      </x:c>
      <x:c r="B19" s="73" t="s">
        <x:v>934</x:v>
      </x:c>
      <x:c r="C19" s="74" t="n">
        <x:v>46217.3541666667</x:v>
      </x:c>
      <x:c r="D19" s="73" t="n">
        <x:v>2880</x:v>
      </x:c>
      <x:c r="E19" s="73" t="s">
        <x:v>943</x:v>
      </x:c>
      <x:c r="F19" s="75" t="n">
        <x:f aca="0">($B$5-C19)*24</x:f>
        <x:v>48.88333333202172</x:v>
      </x:c>
      <x:c r="G19" s="76" t="n">
        <x:f aca="0">IF(F19&lt;=D19/60,1,IF(F19&lt;24,0.7,IF(F19&lt;168,0.3,0)))</x:f>
        <x:v>0.3</x:v>
      </x:c>
      <x:c r="H19" s="77" t="str">
        <x:f aca="0">IF(G19=0,"SUPPRESSED",IF(G19&lt;=0.3,"UNKNOWN",B19))</x:f>
        <x:v>UNKNOWN</x:v>
      </x:c>
      <x:c r="I19" s="76" t="n">
        <x:f aca="0">IF(H19="SUPPRESSED",0,INDEX($H$5:$H$9,MATCH(H19,$G$5:$G$9,0)))</x:f>
        <x:v>0.2</x:v>
      </x:c>
      <x:c r="J19" s="76" t="n">
        <x:f aca="0">INDEX($K$5:$K$9,MATCH(E19,$J$5:$J$9,0))</x:f>
        <x:v>0.5</x:v>
      </x:c>
      <x:c r="K19" s="78" t="n">
        <x:f aca="0">G19*I19*J19</x:f>
        <x:v>0.03</x:v>
      </x:c>
      <x:c r="L19" s="73" t="n">
        <x:v>0</x:v>
      </x:c>
      <x:c r="M19" s="76" t="n">
        <x:f aca="0">IF(L19=0,IF(H19="IN_STOCK",1,0.7),IF(L19&lt;=1,0.4,IF(L19&lt;=3,0.2,0.1)))</x:f>
        <x:v>0.7</x:v>
      </x:c>
      <x:c r="N19" s="79" t="n">
        <x:v>75</x:v>
      </x:c>
      <x:c r="O19" s="79" t="n">
        <x:v>0</x:v>
      </x:c>
      <x:c r="P19" s="80" t="n">
        <x:f aca="0">N19+O19</x:f>
        <x:v>75</x:v>
      </x:c>
      <x:c r="Q19" s="76" t="n">
        <x:f aca="0">IFERROR(1-(P19-MIN($P$16:$P$20))/(MAX($P$16:$P$20)-MIN($P$16:$P$20)),1)</x:f>
        <x:v>1</x:v>
      </x:c>
      <x:c r="R19" s="73" t="n">
        <x:v>26</x:v>
      </x:c>
      <x:c r="S19" s="76" t="n">
        <x:f aca="0">IF(R19&gt;=999,0,MAX(0,1-R19/60))</x:f>
        <x:v>0.5666666666666667</x:v>
      </x:c>
      <x:c r="T19" s="81" t="n">
        <x:v>0.61</x:v>
      </x:c>
      <x:c r="U19" s="82" t="n">
        <x:f aca="0">$B$6*K19+$B$7*M19+$B$8*Q19+$B$9*S19+$B$10*T19</x:f>
        <x:v>0.501</x:v>
      </x:c>
      <x:c r="V19" s="83" t="n">
        <x:f aca="0">RANK(U19,$U$16:$U$20)</x:f>
        <x:v>3</x:v>
      </x:c>
    </x:row>
    <x:row r="20" ht="15" hidden="0" customHeight="1">
      <x:c r="A20" s="72" t="s">
        <x:v>1005</x:v>
      </x:c>
      <x:c r="B20" s="73" t="s">
        <x:v>946</x:v>
      </x:c>
      <x:c r="C20" s="74" t="n">
        <x:v>46219.125</x:v>
      </x:c>
      <x:c r="D20" s="73" t="n">
        <x:v>1440</x:v>
      </x:c>
      <x:c r="E20" s="73" t="s">
        <x:v>871</x:v>
      </x:c>
      <x:c r="F20" s="75" t="n">
        <x:f aca="0">($B$5-C20)*24</x:f>
        <x:v>6.383333332836628</x:v>
      </x:c>
      <x:c r="G20" s="76" t="n">
        <x:f aca="0">IF(F20&lt;=D20/60,1,IF(F20&lt;24,0.7,IF(F20&lt;168,0.3,0)))</x:f>
        <x:v>1</x:v>
      </x:c>
      <x:c r="H20" s="77" t="str">
        <x:f aca="0">IF(G20=0,"SUPPRESSED",IF(G20&lt;=0.3,"UNKNOWN",B20))</x:f>
        <x:v>UNKNOWN</x:v>
      </x:c>
      <x:c r="I20" s="76" t="n">
        <x:f aca="0">IF(H20="SUPPRESSED",0,INDEX($H$5:$H$9,MATCH(H20,$G$5:$G$9,0)))</x:f>
        <x:v>0.2</x:v>
      </x:c>
      <x:c r="J20" s="76" t="n">
        <x:f aca="0">INDEX($K$5:$K$9,MATCH(E20,$J$5:$J$9,0))</x:f>
        <x:v>0.6</x:v>
      </x:c>
      <x:c r="K20" s="78" t="n">
        <x:f aca="0">G20*I20*J20</x:f>
        <x:v>0.12</x:v>
      </x:c>
      <x:c r="L20" s="73" t="n">
        <x:v>3</x:v>
      </x:c>
      <x:c r="M20" s="76" t="n">
        <x:f aca="0">IF(L20=0,IF(H20="IN_STOCK",1,0.7),IF(L20&lt;=1,0.4,IF(L20&lt;=3,0.2,0.1)))</x:f>
        <x:v>0.2</x:v>
      </x:c>
      <x:c r="N20" s="79" t="n">
        <x:v>176.5</x:v>
      </x:c>
      <x:c r="O20" s="79" t="n">
        <x:v>65</x:v>
      </x:c>
      <x:c r="P20" s="80" t="n">
        <x:f aca="0">N20+O20</x:f>
        <x:v>241.5</x:v>
      </x:c>
      <x:c r="Q20" s="76" t="n">
        <x:f aca="0">IFERROR(1-(P20-MIN($P$16:$P$20))/(MAX($P$16:$P$20)-MIN($P$16:$P$20)),1)</x:f>
        <x:v>0.5059347181008902</x:v>
      </x:c>
      <x:c r="R20" s="73" t="n">
        <x:v>999</x:v>
      </x:c>
      <x:c r="S20" s="76" t="n">
        <x:f aca="0">IF(R20&gt;=999,0,MAX(0,1-R20/60))</x:f>
        <x:v>0</x:v>
      </x:c>
      <x:c r="T20" s="81" t="n">
        <x:v>0.9</x:v>
      </x:c>
      <x:c r="U20" s="82" t="n">
        <x:f aca="0">$B$6*K20+$B$7*M20+$B$8*Q20+$B$9*S20+$B$10*T20</x:f>
        <x:v>0.23818694362017806</x:v>
      </x:c>
      <x:c r="V20" s="83" t="n">
        <x:f aca="0">RANK(U20,$U$16:$U$20)</x:f>
        <x:v>4</x:v>
      </x:c>
    </x:row>
    <x:row r="22" ht="15" hidden="0" customHeight="1">
      <x:c r="A22" s="5" t="s">
        <x:v>1006</x:v>
      </x:c>
    </x:row>
    <x:row r="23" ht="15" hidden="0" customHeight="1">
      <x:c r="A23" s="6" t="s">
        <x:v>1007</x:v>
      </x:c>
      <x:c r="B23" s="61" t="s">
        <x:v>1008</x:v>
      </x:c>
      <x:c r="C23" s="61"/>
      <x:c r="D23" s="61"/>
      <x:c r="E23" s="61"/>
      <x:c r="F23" s="61"/>
      <x:c r="G23" s="61"/>
      <x:c r="H23" s="61"/>
      <x:c r="I23" s="61"/>
      <x:c r="J23" s="61"/>
      <x:c r="K23" s="61"/>
      <x:c r="L23" s="61"/>
      <x:c r="M23" s="61"/>
      <x:c r="N23" s="61"/>
    </x:row>
    <x:row r="24" ht="15" hidden="0" customHeight="1">
      <x:c r="B24" s="61"/>
      <x:c r="C24" s="61"/>
      <x:c r="D24" s="61"/>
      <x:c r="E24" s="61"/>
      <x:c r="F24" s="61"/>
      <x:c r="G24" s="61"/>
      <x:c r="H24" s="61"/>
      <x:c r="I24" s="61"/>
      <x:c r="J24" s="61"/>
      <x:c r="K24" s="61"/>
      <x:c r="L24" s="61"/>
      <x:c r="M24" s="61"/>
      <x:c r="N24" s="61"/>
    </x:row>
    <x:row r="25" ht="15" hidden="0" customHeight="1">
      <x:c r="A25" s="6" t="s">
        <x:v>1007</x:v>
      </x:c>
      <x:c r="B25" s="61" t="s">
        <x:v>1009</x:v>
      </x:c>
      <x:c r="C25" s="61"/>
      <x:c r="D25" s="61"/>
      <x:c r="E25" s="61"/>
      <x:c r="F25" s="61"/>
      <x:c r="G25" s="61"/>
      <x:c r="H25" s="61"/>
      <x:c r="I25" s="61"/>
      <x:c r="J25" s="61"/>
      <x:c r="K25" s="61"/>
      <x:c r="L25" s="61"/>
      <x:c r="M25" s="61"/>
      <x:c r="N25" s="61"/>
    </x:row>
    <x:row r="26" ht="15" hidden="0" customHeight="1">
      <x:c r="B26" s="61"/>
      <x:c r="C26" s="61"/>
      <x:c r="D26" s="61"/>
      <x:c r="E26" s="61"/>
      <x:c r="F26" s="61"/>
      <x:c r="G26" s="61"/>
      <x:c r="H26" s="61"/>
      <x:c r="I26" s="61"/>
      <x:c r="J26" s="61"/>
      <x:c r="K26" s="61"/>
      <x:c r="L26" s="61"/>
      <x:c r="M26" s="61"/>
      <x:c r="N26" s="61"/>
    </x:row>
    <x:row r="27" ht="15" hidden="0" customHeight="1">
      <x:c r="A27" s="6" t="s">
        <x:v>1007</x:v>
      </x:c>
      <x:c r="B27" s="61" t="s">
        <x:v>1010</x:v>
      </x:c>
      <x:c r="C27" s="61"/>
      <x:c r="D27" s="61"/>
      <x:c r="E27" s="61"/>
      <x:c r="F27" s="61"/>
      <x:c r="G27" s="61"/>
      <x:c r="H27" s="61"/>
      <x:c r="I27" s="61"/>
      <x:c r="J27" s="61"/>
      <x:c r="K27" s="61"/>
      <x:c r="L27" s="61"/>
      <x:c r="M27" s="61"/>
      <x:c r="N27" s="61"/>
    </x:row>
    <x:row r="28" ht="15" hidden="0" customHeight="1">
      <x:c r="B28" s="61"/>
      <x:c r="C28" s="61"/>
      <x:c r="D28" s="61"/>
      <x:c r="E28" s="61"/>
      <x:c r="F28" s="61"/>
      <x:c r="G28" s="61"/>
      <x:c r="H28" s="61"/>
      <x:c r="I28" s="61"/>
      <x:c r="J28" s="61"/>
      <x:c r="K28" s="61"/>
      <x:c r="L28" s="61"/>
      <x:c r="M28" s="61"/>
      <x:c r="N28" s="61"/>
    </x:row>
    <x:row r="29" ht="15" hidden="0" customHeight="1">
      <x:c r="A29" s="6" t="s">
        <x:v>1007</x:v>
      </x:c>
      <x:c r="B29" s="61" t="s">
        <x:v>1011</x:v>
      </x:c>
      <x:c r="C29" s="61"/>
      <x:c r="D29" s="61"/>
      <x:c r="E29" s="61"/>
      <x:c r="F29" s="61"/>
      <x:c r="G29" s="61"/>
      <x:c r="H29" s="61"/>
      <x:c r="I29" s="61"/>
      <x:c r="J29" s="61"/>
      <x:c r="K29" s="61"/>
      <x:c r="L29" s="61"/>
      <x:c r="M29" s="61"/>
      <x:c r="N29" s="61"/>
    </x:row>
    <x:row r="30" ht="15" hidden="0" customHeight="1">
      <x:c r="B30" s="61"/>
      <x:c r="C30" s="61"/>
      <x:c r="D30" s="61"/>
      <x:c r="E30" s="61"/>
      <x:c r="F30" s="61"/>
      <x:c r="G30" s="61"/>
      <x:c r="H30" s="61"/>
      <x:c r="I30" s="61"/>
      <x:c r="J30" s="61"/>
      <x:c r="K30" s="61"/>
      <x:c r="L30" s="61"/>
      <x:c r="M30" s="61"/>
      <x:c r="N30" s="61"/>
    </x:row>
    <x:row r="31" ht="15" hidden="0" customHeight="1">
      <x:c r="A31" s="6" t="s">
        <x:v>1007</x:v>
      </x:c>
      <x:c r="B31" s="61" t="s">
        <x:v>1012</x:v>
      </x:c>
      <x:c r="C31" s="61"/>
      <x:c r="D31" s="61"/>
      <x:c r="E31" s="61"/>
      <x:c r="F31" s="61"/>
      <x:c r="G31" s="61"/>
      <x:c r="H31" s="61"/>
      <x:c r="I31" s="61"/>
      <x:c r="J31" s="61"/>
      <x:c r="K31" s="61"/>
      <x:c r="L31" s="61"/>
      <x:c r="M31" s="61"/>
      <x:c r="N31" s="61"/>
    </x:row>
    <x:row r="32" ht="15" hidden="0" customHeight="1">
      <x:c r="B32" s="61"/>
      <x:c r="C32" s="61"/>
      <x:c r="D32" s="61"/>
      <x:c r="E32" s="61"/>
      <x:c r="F32" s="61"/>
      <x:c r="G32" s="61"/>
      <x:c r="H32" s="61"/>
      <x:c r="I32" s="61"/>
      <x:c r="J32" s="61"/>
      <x:c r="K32" s="61"/>
      <x:c r="L32" s="61"/>
      <x:c r="M32" s="61"/>
      <x:c r="N32" s="61"/>
    </x:row>
  </x:sheetData>
  <x:mergeCells>
    <x:mergeCell ref="B23:N24"/>
    <x:mergeCell ref="B25:N26"/>
    <x:mergeCell ref="B27:N28"/>
    <x:mergeCell ref="B29:N30"/>
    <x:mergeCell ref="B31:N32"/>
  </x:mergeCells>
  <x:pageMargins left="0.7" right="0.7" top="0.75" bottom="0.75" header="0.3" footer="0.3"/>
</x:worksheet>
</file>

<file path=xl/worksheets/sheet12.xml><?xml version="1.0" encoding="utf-8"?>
<x:worksheet xmlns:x="http://schemas.openxmlformats.org/spreadsheetml/2006/main">
  <x:sheetViews>
    <x:sheetView showGridLines="1" workbookViewId="0">
      <x:pane ySplit="4" topLeftCell="A5" activePane="bottomLeft" state="frozen"/>
    </x:sheetView>
  </x:sheetViews>
  <x:sheetFormatPr defaultColWidth="8.6796875" defaultRowHeight="15"/>
  <x:cols>
    <x:col min="1" max="1" width="5" style="1" hidden="0" customWidth="1"/>
    <x:col min="2" max="2" width="30" style="1" hidden="0" customWidth="1"/>
    <x:col min="3" max="3" width="40" style="1" hidden="0" customWidth="1"/>
    <x:col min="4" max="4" width="46" style="1" hidden="0" customWidth="1"/>
    <x:col min="5" max="5" width="84" style="1" hidden="0" customWidth="1"/>
  </x:cols>
  <x:sheetData>
    <x:row r="1" ht="19.5" hidden="0" customHeight="1">
      <x:c r="A1" s="2" t="s">
        <x:v>1013</x:v>
      </x:c>
    </x:row>
    <x:row r="2" ht="15" hidden="0" customHeight="1">
      <x:c r="A2" s="3" t="s">
        <x:v>1014</x:v>
      </x:c>
    </x:row>
    <x:row r="4" ht="30" hidden="0" customHeight="1">
      <x:c r="A4" s="46" t="s">
        <x:v>1015</x:v>
      </x:c>
      <x:c r="B4" s="46" t="s">
        <x:v>1016</x:v>
      </x:c>
      <x:c r="C4" s="46" t="s">
        <x:v>1017</x:v>
      </x:c>
      <x:c r="D4" s="46" t="s">
        <x:v>1018</x:v>
      </x:c>
      <x:c r="E4" s="46" t="s">
        <x:v>1019</x:v>
      </x:c>
    </x:row>
    <x:row r="5" ht="33.75" hidden="0" customHeight="1">
      <x:c r="A5" s="51" t="s">
        <x:v>1020</x:v>
      </x:c>
      <x:c r="B5" s="60" t="s">
        <x:v>1021</x:v>
      </x:c>
      <x:c r="C5" s="60" t="s">
        <x:v>1022</x:v>
      </x:c>
      <x:c r="D5" s="60" t="s">
        <x:v>1023</x:v>
      </x:c>
      <x:c r="E5" s="60" t="s">
        <x:v>1024</x:v>
      </x:c>
    </x:row>
    <x:row r="6" ht="33.75" hidden="0" customHeight="1">
      <x:c r="A6" s="48" t="s">
        <x:v>1025</x:v>
      </x:c>
      <x:c r="B6" s="59" t="s">
        <x:v>1026</x:v>
      </x:c>
      <x:c r="C6" s="59" t="s">
        <x:v>1027</x:v>
      </x:c>
      <x:c r="D6" s="59" t="s">
        <x:v>1028</x:v>
      </x:c>
      <x:c r="E6" s="59" t="s">
        <x:v>1029</x:v>
      </x:c>
    </x:row>
    <x:row r="7" ht="33.75" hidden="0" customHeight="1">
      <x:c r="A7" s="51" t="s">
        <x:v>1030</x:v>
      </x:c>
      <x:c r="B7" s="60" t="s">
        <x:v>1031</x:v>
      </x:c>
      <x:c r="C7" s="60" t="s">
        <x:v>1032</x:v>
      </x:c>
      <x:c r="D7" s="60" t="s">
        <x:v>1033</x:v>
      </x:c>
      <x:c r="E7" s="60" t="s">
        <x:v>1034</x:v>
      </x:c>
    </x:row>
    <x:row r="8" ht="33.75" hidden="0" customHeight="1">
      <x:c r="A8" s="48" t="s">
        <x:v>1035</x:v>
      </x:c>
      <x:c r="B8" s="59" t="s">
        <x:v>1036</x:v>
      </x:c>
      <x:c r="C8" s="59" t="s">
        <x:v>1037</x:v>
      </x:c>
      <x:c r="D8" s="59" t="s">
        <x:v>1038</x:v>
      </x:c>
      <x:c r="E8" s="59" t="s">
        <x:v>1039</x:v>
      </x:c>
    </x:row>
    <x:row r="9" ht="33.75" hidden="0" customHeight="1">
      <x:c r="A9" s="51" t="s">
        <x:v>1040</x:v>
      </x:c>
      <x:c r="B9" s="60" t="s">
        <x:v>1041</x:v>
      </x:c>
      <x:c r="C9" s="60" t="s">
        <x:v>1042</x:v>
      </x:c>
      <x:c r="D9" s="60" t="s">
        <x:v>1043</x:v>
      </x:c>
      <x:c r="E9" s="60" t="s">
        <x:v>1044</x:v>
      </x:c>
    </x:row>
    <x:row r="10" ht="33.75" hidden="0" customHeight="1">
      <x:c r="A10" s="48" t="s">
        <x:v>1045</x:v>
      </x:c>
      <x:c r="B10" s="59" t="s">
        <x:v>1046</x:v>
      </x:c>
      <x:c r="C10" s="59" t="s">
        <x:v>1047</x:v>
      </x:c>
      <x:c r="D10" s="59" t="s">
        <x:v>1048</x:v>
      </x:c>
      <x:c r="E10" s="59" t="s">
        <x:v>1049</x:v>
      </x:c>
    </x:row>
    <x:row r="11" ht="33.75" hidden="0" customHeight="1">
      <x:c r="A11" s="51" t="s">
        <x:v>1050</x:v>
      </x:c>
      <x:c r="B11" s="60" t="s">
        <x:v>1051</x:v>
      </x:c>
      <x:c r="C11" s="60" t="s">
        <x:v>1052</x:v>
      </x:c>
      <x:c r="D11" s="60" t="s">
        <x:v>1053</x:v>
      </x:c>
      <x:c r="E11" s="60" t="s">
        <x:v>1054</x:v>
      </x:c>
    </x:row>
    <x:row r="12" ht="33.75" hidden="0" customHeight="1">
      <x:c r="A12" s="48" t="s">
        <x:v>1055</x:v>
      </x:c>
      <x:c r="B12" s="59" t="s">
        <x:v>1056</x:v>
      </x:c>
      <x:c r="C12" s="59" t="s">
        <x:v>1057</x:v>
      </x:c>
      <x:c r="D12" s="59" t="s">
        <x:v>1058</x:v>
      </x:c>
      <x:c r="E12" s="59" t="s">
        <x:v>1059</x:v>
      </x:c>
    </x:row>
    <x:row r="13" ht="33.75" hidden="0" customHeight="1">
      <x:c r="A13" s="51" t="s">
        <x:v>1060</x:v>
      </x:c>
      <x:c r="B13" s="60" t="s">
        <x:v>1061</x:v>
      </x:c>
      <x:c r="C13" s="60" t="s">
        <x:v>1062</x:v>
      </x:c>
      <x:c r="D13" s="60" t="s">
        <x:v>1063</x:v>
      </x:c>
      <x:c r="E13" s="60" t="s">
        <x:v>1064</x:v>
      </x:c>
    </x:row>
    <x:row r="14" ht="33.75" hidden="0" customHeight="1">
      <x:c r="A14" s="48" t="s">
        <x:v>1065</x:v>
      </x:c>
      <x:c r="B14" s="59" t="s">
        <x:v>1066</x:v>
      </x:c>
      <x:c r="C14" s="59" t="s">
        <x:v>1067</x:v>
      </x:c>
      <x:c r="D14" s="59" t="s">
        <x:v>1068</x:v>
      </x:c>
      <x:c r="E14" s="59" t="s">
        <x:v>1069</x:v>
      </x:c>
    </x:row>
    <x:row r="17" ht="15" hidden="0" customHeight="1">
      <x:c r="A17" s="5" t="s">
        <x:v>1070</x:v>
      </x:c>
    </x:row>
    <x:row r="18" ht="15" hidden="0" customHeight="1">
      <x:c r="A18" s="8" t="s">
        <x:v>1071</x:v>
      </x:c>
      <x:c r="C18" s="84" t="s">
        <x:v>1072</x:v>
      </x:c>
    </x:row>
    <x:row r="19" ht="15" hidden="0" customHeight="1">
      <x:c r="A19" s="8" t="s">
        <x:v>1073</x:v>
      </x:c>
      <x:c r="C19" s="9" t="n">
        <x:v>280155868</x:v>
      </x:c>
      <x:c r="D19" s="9" t="s">
        <x:v>1074</x:v>
      </x:c>
    </x:row>
  </x:sheetData>
  <x:pageMargins left="0.7" right="0.7" top="0.75" bottom="0.75" header="0.3" footer="0.3"/>
</x:worksheet>
</file>

<file path=xl/worksheets/sheet13.xml><?xml version="1.0" encoding="utf-8"?>
<x:worksheet xmlns:x="http://schemas.openxmlformats.org/spreadsheetml/2006/main">
  <x:sheetViews>
    <x:sheetView showGridLines="1" workbookViewId="0">
      <x:pane ySplit="4" topLeftCell="A5" activePane="bottomLeft" state="frozen"/>
    </x:sheetView>
  </x:sheetViews>
  <x:sheetFormatPr defaultColWidth="8.6796875" defaultRowHeight="15"/>
  <x:cols>
    <x:col min="1" max="1" width="9" style="1" hidden="0" customWidth="1"/>
    <x:col min="2" max="2" width="16" style="1" hidden="0" customWidth="1"/>
    <x:col min="3" max="3" width="22" style="1" hidden="0" customWidth="1"/>
    <x:col min="4" max="4" width="19" style="1" hidden="0" customWidth="1"/>
    <x:col min="5" max="5" width="15" style="1" hidden="0" customWidth="1"/>
    <x:col min="6" max="6" width="13" style="1" hidden="0" customWidth="1"/>
    <x:col min="7" max="7" width="34" style="1" hidden="0" customWidth="1"/>
    <x:col min="8" max="8" width="11" style="1" hidden="0" customWidth="1"/>
    <x:col min="9" max="9" width="12" style="1" hidden="0" customWidth="1"/>
    <x:col min="10" max="10" width="86" style="1" hidden="0" customWidth="1"/>
  </x:cols>
  <x:sheetData>
    <x:row r="1" ht="19.5" hidden="0" customHeight="1">
      <x:c r="A1" s="2" t="s">
        <x:v>1075</x:v>
      </x:c>
    </x:row>
    <x:row r="2" ht="15" hidden="0" customHeight="1">
      <x:c r="A2" s="3" t="s">
        <x:v>1076</x:v>
      </x:c>
    </x:row>
    <x:row r="4" ht="30" hidden="0" customHeight="1">
      <x:c r="A4" s="46" t="s">
        <x:v>1077</x:v>
      </x:c>
      <x:c r="B4" s="46" t="s">
        <x:v>53</x:v>
      </x:c>
      <x:c r="C4" s="46" t="s">
        <x:v>1078</x:v>
      </x:c>
      <x:c r="D4" s="46" t="s">
        <x:v>672</x:v>
      </x:c>
      <x:c r="E4" s="46" t="s">
        <x:v>1079</x:v>
      </x:c>
      <x:c r="F4" s="46" t="s">
        <x:v>1080</x:v>
      </x:c>
      <x:c r="G4" s="46" t="s">
        <x:v>1081</x:v>
      </x:c>
      <x:c r="H4" s="46" t="s">
        <x:v>1082</x:v>
      </x:c>
      <x:c r="I4" s="46" t="s">
        <x:v>1083</x:v>
      </x:c>
      <x:c r="J4" s="46" t="s">
        <x:v>1084</x:v>
      </x:c>
    </x:row>
    <x:row r="5" ht="15" hidden="0" customHeight="1">
      <x:c r="A5" s="50" t="s">
        <x:v>1085</x:v>
      </x:c>
      <x:c r="B5" s="50" t="n">
        <x:v>910003</x:v>
      </x:c>
      <x:c r="C5" s="51" t="s">
        <x:v>1086</x:v>
      </x:c>
      <x:c r="D5" s="50" t="s">
        <x:v>695</x:v>
      </x:c>
      <x:c r="E5" s="51" t="s">
        <x:v>1087</x:v>
      </x:c>
      <x:c r="F5" s="51" t="s">
        <x:v>46</x:v>
      </x:c>
      <x:c r="G5" s="51"/>
      <x:c r="H5" s="51" t="s">
        <x:v>1088</x:v>
      </x:c>
      <x:c r="I5" s="57" t="n">
        <x:v>46219</x:v>
      </x:c>
      <x:c r="J5" s="60" t="s">
        <x:v>1089</x:v>
      </x:c>
    </x:row>
    <x:row r="6" ht="15" hidden="0" customHeight="1">
      <x:c r="A6" s="47" t="s">
        <x:v>1090</x:v>
      </x:c>
      <x:c r="B6" s="47" t="n">
        <x:v>910003</x:v>
      </x:c>
      <x:c r="C6" s="48" t="s">
        <x:v>1091</x:v>
      </x:c>
      <x:c r="D6" s="47" t="s">
        <x:v>695</x:v>
      </x:c>
      <x:c r="E6" s="48" t="s">
        <x:v>1092</x:v>
      </x:c>
      <x:c r="F6" s="48"/>
      <x:c r="G6" s="48" t="s">
        <x:v>1093</x:v>
      </x:c>
      <x:c r="H6" s="48" t="s">
        <x:v>1088</x:v>
      </x:c>
      <x:c r="I6" s="55" t="n">
        <x:v>46219</x:v>
      </x:c>
      <x:c r="J6" s="85" t="s">
        <x:v>1094</x:v>
      </x:c>
    </x:row>
    <x:row r="7" ht="15" hidden="0" customHeight="1">
      <x:c r="A7" s="50" t="s">
        <x:v>1095</x:v>
      </x:c>
      <x:c r="B7" s="50" t="n">
        <x:v>910003</x:v>
      </x:c>
      <x:c r="C7" s="51" t="s">
        <x:v>804</x:v>
      </x:c>
      <x:c r="D7" s="50" t="s">
        <x:v>695</x:v>
      </x:c>
      <x:c r="E7" s="51" t="s">
        <x:v>1087</x:v>
      </x:c>
      <x:c r="F7" s="51" t="s">
        <x:v>52</x:v>
      </x:c>
      <x:c r="G7" s="51" t="s">
        <x:v>1096</x:v>
      </x:c>
      <x:c r="H7" s="51" t="s">
        <x:v>1088</x:v>
      </x:c>
      <x:c r="I7" s="57" t="n">
        <x:v>46219</x:v>
      </x:c>
      <x:c r="J7" s="86" t="s">
        <x:v>1097</x:v>
      </x:c>
    </x:row>
    <x:row r="8" ht="15" hidden="0" customHeight="1">
      <x:c r="A8" s="47" t="s">
        <x:v>1098</x:v>
      </x:c>
      <x:c r="B8" s="47" t="n">
        <x:v>910001</x:v>
      </x:c>
      <x:c r="C8" s="48" t="s">
        <x:v>804</x:v>
      </x:c>
      <x:c r="D8" s="47" t="s">
        <x:v>716</x:v>
      </x:c>
      <x:c r="E8" s="48" t="s">
        <x:v>1092</x:v>
      </x:c>
      <x:c r="F8" s="48"/>
      <x:c r="G8" s="48" t="s">
        <x:v>848</x:v>
      </x:c>
      <x:c r="H8" s="48" t="s">
        <x:v>1088</x:v>
      </x:c>
      <x:c r="I8" s="55" t="n">
        <x:v>46219</x:v>
      </x:c>
      <x:c r="J8" s="85" t="s">
        <x:v>1099</x:v>
      </x:c>
    </x:row>
    <x:row r="9" ht="15" hidden="0" customHeight="1">
      <x:c r="A9" s="50" t="s">
        <x:v>1100</x:v>
      </x:c>
      <x:c r="B9" s="50" t="n">
        <x:v>910001</x:v>
      </x:c>
      <x:c r="C9" s="51" t="s">
        <x:v>804</x:v>
      </x:c>
      <x:c r="D9" s="50" t="s">
        <x:v>711</x:v>
      </x:c>
      <x:c r="E9" s="51" t="s">
        <x:v>1087</x:v>
      </x:c>
      <x:c r="F9" s="51" t="s">
        <x:v>46</x:v>
      </x:c>
      <x:c r="G9" s="51"/>
      <x:c r="H9" s="51" t="s">
        <x:v>1088</x:v>
      </x:c>
      <x:c r="I9" s="57" t="n">
        <x:v>46219</x:v>
      </x:c>
      <x:c r="J9" s="60" t="s">
        <x:v>1101</x:v>
      </x:c>
    </x:row>
    <x:row r="10" ht="15" hidden="0" customHeight="1">
      <x:c r="A10" s="47" t="s">
        <x:v>1102</x:v>
      </x:c>
      <x:c r="B10" s="47" t="n">
        <x:v>900003</x:v>
      </x:c>
      <x:c r="C10" s="48" t="s">
        <x:v>816</x:v>
      </x:c>
      <x:c r="D10" s="47" t="s">
        <x:v>734</x:v>
      </x:c>
      <x:c r="E10" s="48" t="s">
        <x:v>1092</x:v>
      </x:c>
      <x:c r="F10" s="48"/>
      <x:c r="G10" s="48" t="s">
        <x:v>850</x:v>
      </x:c>
      <x:c r="H10" s="48" t="s">
        <x:v>1088</x:v>
      </x:c>
      <x:c r="I10" s="55" t="n">
        <x:v>46219</x:v>
      </x:c>
      <x:c r="J10" s="85" t="s">
        <x:v>1103</x:v>
      </x:c>
    </x:row>
    <x:row r="11" ht="15" hidden="0" customHeight="1">
      <x:c r="A11" s="50" t="s">
        <x:v>1104</x:v>
      </x:c>
      <x:c r="B11" s="50" t="n">
        <x:v>910004</x:v>
      </x:c>
      <x:c r="C11" s="51" t="s">
        <x:v>804</x:v>
      </x:c>
      <x:c r="D11" s="50" t="s">
        <x:v>763</x:v>
      </x:c>
      <x:c r="E11" s="51" t="s">
        <x:v>1105</x:v>
      </x:c>
      <x:c r="F11" s="51"/>
      <x:c r="G11" s="51" t="s">
        <x:v>856</x:v>
      </x:c>
      <x:c r="H11" s="51" t="s">
        <x:v>1088</x:v>
      </x:c>
      <x:c r="I11" s="57" t="n">
        <x:v>46219</x:v>
      </x:c>
      <x:c r="J11" s="86" t="s">
        <x:v>1106</x:v>
      </x:c>
    </x:row>
    <x:row r="12" ht="15" hidden="0" customHeight="1">
      <x:c r="A12" s="47" t="s">
        <x:v>1107</x:v>
      </x:c>
      <x:c r="B12" s="47" t="n">
        <x:v>910003</x:v>
      </x:c>
      <x:c r="C12" s="48" t="s">
        <x:v>1086</x:v>
      </x:c>
      <x:c r="D12" s="47" t="s">
        <x:v>708</x:v>
      </x:c>
      <x:c r="E12" s="48" t="s">
        <x:v>1087</x:v>
      </x:c>
      <x:c r="F12" s="48" t="s">
        <x:v>56</x:v>
      </x:c>
      <x:c r="G12" s="48" t="s">
        <x:v>801</x:v>
      </x:c>
      <x:c r="H12" s="48" t="s">
        <x:v>1088</x:v>
      </x:c>
      <x:c r="I12" s="55" t="n">
        <x:v>46219</x:v>
      </x:c>
      <x:c r="J12" s="59" t="s">
        <x:v>1108</x:v>
      </x:c>
    </x:row>
    <x:row r="13" ht="15" hidden="0" customHeight="1">
      <x:c r="A13" s="50" t="s">
        <x:v>1109</x:v>
      </x:c>
      <x:c r="B13" s="50" t="n">
        <x:v>910001</x:v>
      </x:c>
      <x:c r="C13" s="51" t="s">
        <x:v>804</x:v>
      </x:c>
      <x:c r="D13" s="50" t="s">
        <x:v>695</x:v>
      </x:c>
      <x:c r="E13" s="51" t="s">
        <x:v>1092</x:v>
      </x:c>
      <x:c r="F13" s="51"/>
      <x:c r="G13" s="51" t="s">
        <x:v>852</x:v>
      </x:c>
      <x:c r="H13" s="51" t="s">
        <x:v>1088</x:v>
      </x:c>
      <x:c r="I13" s="57" t="n">
        <x:v>46219</x:v>
      </x:c>
      <x:c r="J13" s="60" t="s">
        <x:v>1110</x:v>
      </x:c>
    </x:row>
    <x:row r="14" ht="15" hidden="0" customHeight="1">
      <x:c r="A14" s="47" t="s">
        <x:v>1111</x:v>
      </x:c>
      <x:c r="B14" s="47" t="n">
        <x:v>910002</x:v>
      </x:c>
      <x:c r="C14" s="48" t="s">
        <x:v>820</x:v>
      </x:c>
      <x:c r="D14" s="47" t="s">
        <x:v>753</x:v>
      </x:c>
      <x:c r="E14" s="48" t="s">
        <x:v>1087</x:v>
      </x:c>
      <x:c r="F14" s="48" t="s">
        <x:v>46</x:v>
      </x:c>
      <x:c r="G14" s="48" t="s">
        <x:v>1112</x:v>
      </x:c>
      <x:c r="H14" s="48" t="s">
        <x:v>1088</x:v>
      </x:c>
      <x:c r="I14" s="55" t="n">
        <x:v>46219</x:v>
      </x:c>
      <x:c r="J14" s="59" t="s">
        <x:v>1113</x:v>
      </x:c>
    </x:row>
    <x:row r="15" ht="15" hidden="0" customHeight="1">
      <x:c r="A15" s="50" t="s">
        <x:v>1114</x:v>
      </x:c>
      <x:c r="B15" s="50" t="n">
        <x:v>910011</x:v>
      </x:c>
      <x:c r="C15" s="51" t="s">
        <x:v>804</x:v>
      </x:c>
      <x:c r="D15" s="50" t="s">
        <x:v>687</x:v>
      </x:c>
      <x:c r="E15" s="51" t="s">
        <x:v>1087</x:v>
      </x:c>
      <x:c r="F15" s="51" t="s">
        <x:v>52</x:v>
      </x:c>
      <x:c r="G15" s="51" t="s">
        <x:v>838</x:v>
      </x:c>
      <x:c r="H15" s="51" t="s">
        <x:v>1088</x:v>
      </x:c>
      <x:c r="I15" s="57" t="n">
        <x:v>46219</x:v>
      </x:c>
      <x:c r="J15" s="60" t="s">
        <x:v>1115</x:v>
      </x:c>
    </x:row>
    <x:row r="16" ht="15" hidden="0" customHeight="1">
      <x:c r="A16" s="47" t="s">
        <x:v>1116</x:v>
      </x:c>
      <x:c r="B16" s="47" t="n">
        <x:v>999999</x:v>
      </x:c>
      <x:c r="C16" s="48" t="s">
        <x:v>804</x:v>
      </x:c>
      <x:c r="D16" s="47" t="s">
        <x:v>687</x:v>
      </x:c>
      <x:c r="E16" s="48" t="s">
        <x:v>1117</x:v>
      </x:c>
      <x:c r="F16" s="48"/>
      <x:c r="G16" s="48" t="s">
        <x:v>1118</x:v>
      </x:c>
      <x:c r="H16" s="48" t="s">
        <x:v>1088</x:v>
      </x:c>
      <x:c r="I16" s="55" t="n">
        <x:v>46219</x:v>
      </x:c>
      <x:c r="J16" s="85" t="s">
        <x:v>1119</x:v>
      </x:c>
    </x:row>
    <x:row r="18" ht="15" hidden="0" customHeight="1">
      <x:c r="A18" s="5" t="s">
        <x:v>1120</x:v>
      </x:c>
    </x:row>
    <x:row r="19" ht="15" hidden="0" customHeight="1">
      <x:c r="A19" s="8" t="s">
        <x:v>1121</x:v>
      </x:c>
      <x:c r="C19" s="87" t="n">
        <x:v>180</x:v>
      </x:c>
    </x:row>
    <x:row r="20" ht="15" hidden="0" customHeight="1">
      <x:c r="A20" s="8" t="s">
        <x:v>1122</x:v>
      </x:c>
      <x:c r="C20" s="87" t="n">
        <x:v>90</x:v>
      </x:c>
    </x:row>
    <x:row r="21" ht="15" hidden="0" customHeight="1">
      <x:c r="A21" s="8" t="s">
        <x:v>1123</x:v>
      </x:c>
      <x:c r="C21" s="87" t="n">
        <x:v>80</x:v>
      </x:c>
    </x:row>
    <x:row r="22" ht="15" hidden="0" customHeight="1">
      <x:c r="A22" s="8" t="s">
        <x:v>1124</x:v>
      </x:c>
      <x:c r="C22" s="87" t="n">
        <x:v>70</x:v>
      </x:c>
    </x:row>
    <x:row r="23" ht="15" hidden="0" customHeight="1">
      <x:c r="A23" s="8" t="s">
        <x:v>1125</x:v>
      </x:c>
      <x:c r="C23" s="87" t="n">
        <x:v>40</x:v>
      </x:c>
    </x:row>
    <x:row r="24" ht="15" hidden="0" customHeight="1">
      <x:c r="A24" s="8" t="s">
        <x:v>1126</x:v>
      </x:c>
      <x:c r="C24" s="87" t="n">
        <x:v>20</x:v>
      </x:c>
    </x:row>
    <x:row r="25" ht="15" hidden="0" customHeight="1">
      <x:c r="A25" s="8" t="s">
        <x:v>1127</x:v>
      </x:c>
      <x:c r="C25" s="87" t="n">
        <x:v>20</x:v>
      </x:c>
    </x:row>
    <x:row r="26" ht="15" hidden="0" customHeight="1">
      <x:c r="A26" s="6" t="s">
        <x:v>1128</x:v>
      </x:c>
      <x:c r="C26" s="6" t="n">
        <x:f aca="0">SUM(C19:C25)</x:f>
        <x:v>500</x:v>
      </x:c>
    </x:row>
    <x:row r="28" ht="15" hidden="0" customHeight="1">
      <x:c r="A28" s="9" t="s">
        <x:v>1129</x:v>
      </x:c>
    </x:row>
    <x:row r="29" ht="15" hidden="0" customHeight="1">
      <x:c r="A29" s="8" t="s">
        <x:v>1130</x:v>
      </x:c>
    </x:row>
  </x:sheetData>
  <x:pageMargins left="0.7" right="0.7" top="0.75" bottom="0.75" header="0.3" footer="0.3"/>
</x:worksheet>
</file>

<file path=xl/worksheets/sheet14.xml><?xml version="1.0" encoding="utf-8"?>
<x:worksheet xmlns:x="http://schemas.openxmlformats.org/spreadsheetml/2006/main">
  <x:sheetViews>
    <x:sheetView showGridLines="1" workbookViewId="0">
      <x:pane ySplit="4" topLeftCell="A5" activePane="bottomLeft" state="frozen"/>
    </x:sheetView>
  </x:sheetViews>
  <x:sheetFormatPr defaultColWidth="8.6796875" defaultRowHeight="15"/>
  <x:cols>
    <x:col min="1" max="1" width="22" style="1" hidden="0" customWidth="1"/>
    <x:col min="2" max="2" width="10" style="1" hidden="0" customWidth="1"/>
    <x:col min="3" max="3" width="50" style="1" hidden="0" customWidth="1"/>
    <x:col min="4" max="4" width="56" style="1" hidden="0" customWidth="1"/>
    <x:col min="5" max="5" width="12" style="1" hidden="0" customWidth="1"/>
    <x:col min="6" max="6" width="40" style="1" hidden="0" customWidth="1"/>
    <x:col min="7" max="7" width="46" style="1" hidden="0" customWidth="1"/>
    <x:col min="8" max="8" width="26" style="1" hidden="0" customWidth="1"/>
  </x:cols>
  <x:sheetData>
    <x:row r="1" ht="18" hidden="0" customHeight="1">
      <x:c r="A1" s="37" t="s">
        <x:v>1131</x:v>
      </x:c>
    </x:row>
    <x:row r="2" ht="15" hidden="0" customHeight="1">
      <x:c r="A2" s="38" t="s">
        <x:v>1132</x:v>
      </x:c>
    </x:row>
    <x:row r="4" ht="25.5" hidden="0" customHeight="1">
      <x:c r="A4" s="16" t="s">
        <x:v>1133</x:v>
      </x:c>
      <x:c r="B4" s="16" t="s">
        <x:v>1134</x:v>
      </x:c>
      <x:c r="C4" s="16" t="s">
        <x:v>1135</x:v>
      </x:c>
      <x:c r="D4" s="16" t="s">
        <x:v>1136</x:v>
      </x:c>
      <x:c r="E4" s="16" t="s">
        <x:v>1137</x:v>
      </x:c>
      <x:c r="F4" s="16" t="s">
        <x:v>1138</x:v>
      </x:c>
      <x:c r="G4" s="16" t="s">
        <x:v>1139</x:v>
      </x:c>
      <x:c r="H4" s="16" t="s">
        <x:v>1140</x:v>
      </x:c>
    </x:row>
    <x:row r="5" ht="21.75" hidden="0" customHeight="1">
      <x:c r="A5" s="18" t="s">
        <x:v>1141</x:v>
      </x:c>
      <x:c r="B5" s="18" t="s">
        <x:v>1142</x:v>
      </x:c>
      <x:c r="C5" s="18" t="s">
        <x:v>1143</x:v>
      </x:c>
      <x:c r="D5" s="18" t="s">
        <x:v>1144</x:v>
      </x:c>
      <x:c r="E5" s="18" t="s">
        <x:v>1142</x:v>
      </x:c>
      <x:c r="F5" s="18" t="s">
        <x:v>1145</x:v>
      </x:c>
      <x:c r="G5" s="18" t="s">
        <x:v>1146</x:v>
      </x:c>
      <x:c r="H5" s="18" t="s">
        <x:v>1147</x:v>
      </x:c>
    </x:row>
    <x:row r="6" ht="21.75" hidden="0" customHeight="1">
      <x:c r="A6" s="17" t="s">
        <x:v>1148</x:v>
      </x:c>
      <x:c r="B6" s="17" t="s">
        <x:v>46</x:v>
      </x:c>
      <x:c r="C6" s="17" t="s">
        <x:v>1149</x:v>
      </x:c>
      <x:c r="D6" s="17" t="s">
        <x:v>1150</x:v>
      </x:c>
      <x:c r="E6" s="17" t="s">
        <x:v>1151</x:v>
      </x:c>
      <x:c r="F6" s="17" t="s">
        <x:v>1152</x:v>
      </x:c>
      <x:c r="G6" s="17" t="s">
        <x:v>1153</x:v>
      </x:c>
      <x:c r="H6" s="17" t="s">
        <x:v>1147</x:v>
      </x:c>
    </x:row>
    <x:row r="7" ht="21.75" hidden="0" customHeight="1">
      <x:c r="A7" s="18" t="s">
        <x:v>1154</x:v>
      </x:c>
      <x:c r="B7" s="18"/>
      <x:c r="C7" s="18" t="s">
        <x:v>1155</x:v>
      </x:c>
      <x:c r="D7" s="18" t="s">
        <x:v>1156</x:v>
      </x:c>
      <x:c r="E7" s="18" t="s">
        <x:v>1157</x:v>
      </x:c>
      <x:c r="F7" s="18" t="s">
        <x:v>1158</x:v>
      </x:c>
      <x:c r="G7" s="18" t="s">
        <x:v>1159</x:v>
      </x:c>
      <x:c r="H7" s="18" t="s">
        <x:v>1160</x:v>
      </x:c>
    </x:row>
    <x:row r="8" ht="21.75" hidden="0" customHeight="1">
      <x:c r="A8" s="17" t="s">
        <x:v>1161</x:v>
      </x:c>
      <x:c r="B8" s="17"/>
      <x:c r="C8" s="17" t="s">
        <x:v>1162</x:v>
      </x:c>
      <x:c r="D8" s="17" t="s">
        <x:v>1163</x:v>
      </x:c>
      <x:c r="E8" s="17" t="s">
        <x:v>491</x:v>
      </x:c>
      <x:c r="F8" s="17" t="s">
        <x:v>1164</x:v>
      </x:c>
      <x:c r="G8" s="17" t="s">
        <x:v>1165</x:v>
      </x:c>
      <x:c r="H8" s="17" t="s">
        <x:v>1166</x:v>
      </x:c>
    </x:row>
    <x:row r="9" ht="21.75" hidden="0" customHeight="1">
      <x:c r="A9" s="18" t="s">
        <x:v>1167</x:v>
      </x:c>
      <x:c r="B9" s="18" t="s">
        <x:v>1168</x:v>
      </x:c>
      <x:c r="C9" s="18" t="s">
        <x:v>1169</x:v>
      </x:c>
      <x:c r="D9" s="18" t="s">
        <x:v>1170</x:v>
      </x:c>
      <x:c r="E9" s="18" t="s">
        <x:v>491</x:v>
      </x:c>
      <x:c r="F9" s="18" t="s">
        <x:v>1171</x:v>
      </x:c>
      <x:c r="G9" s="18" t="s">
        <x:v>1172</x:v>
      </x:c>
      <x:c r="H9" s="18" t="s">
        <x:v>1173</x:v>
      </x:c>
    </x:row>
    <x:row r="10" ht="21.75" hidden="0" customHeight="1">
      <x:c r="A10" s="17" t="s">
        <x:v>1174</x:v>
      </x:c>
      <x:c r="B10" s="17" t="s">
        <x:v>1175</x:v>
      </x:c>
      <x:c r="C10" s="17" t="s">
        <x:v>1176</x:v>
      </x:c>
      <x:c r="D10" s="17" t="s">
        <x:v>1177</x:v>
      </x:c>
      <x:c r="E10" s="17" t="s">
        <x:v>491</x:v>
      </x:c>
      <x:c r="F10" s="17" t="s">
        <x:v>1178</x:v>
      </x:c>
      <x:c r="G10" s="17" t="s">
        <x:v>1179</x:v>
      </x:c>
      <x:c r="H10" s="31" t="s">
        <x:v>201</x:v>
      </x:c>
    </x:row>
    <x:row r="11" ht="21.75" hidden="0" customHeight="1">
      <x:c r="A11" s="18" t="s">
        <x:v>1180</x:v>
      </x:c>
      <x:c r="B11" s="18" t="s">
        <x:v>56</x:v>
      </x:c>
      <x:c r="C11" s="18" t="s">
        <x:v>1181</x:v>
      </x:c>
      <x:c r="D11" s="18" t="s">
        <x:v>1182</x:v>
      </x:c>
      <x:c r="E11" s="18" t="s">
        <x:v>1183</x:v>
      </x:c>
      <x:c r="F11" s="18" t="s">
        <x:v>1184</x:v>
      </x:c>
      <x:c r="G11" s="18" t="s">
        <x:v>1185</x:v>
      </x:c>
      <x:c r="H11" s="27" t="s">
        <x:v>1186</x:v>
      </x:c>
    </x:row>
    <x:row r="12" ht="21.75" hidden="0" customHeight="1">
      <x:c r="A12" s="17" t="s">
        <x:v>1187</x:v>
      </x:c>
      <x:c r="B12" s="17"/>
      <x:c r="C12" s="17" t="s">
        <x:v>1188</x:v>
      </x:c>
      <x:c r="D12" s="17" t="s">
        <x:v>1189</x:v>
      </x:c>
      <x:c r="E12" s="17" t="s">
        <x:v>1190</x:v>
      </x:c>
      <x:c r="F12" s="17" t="s">
        <x:v>1191</x:v>
      </x:c>
      <x:c r="G12" s="17" t="s">
        <x:v>1192</x:v>
      </x:c>
      <x:c r="H12" s="31" t="s">
        <x:v>201</x:v>
      </x:c>
    </x:row>
    <x:row r="13" ht="21.75" hidden="0" customHeight="1">
      <x:c r="A13" s="18" t="s">
        <x:v>1193</x:v>
      </x:c>
      <x:c r="B13" s="18" t="s">
        <x:v>1194</x:v>
      </x:c>
      <x:c r="C13" s="18" t="s">
        <x:v>1195</x:v>
      </x:c>
      <x:c r="D13" s="18" t="s">
        <x:v>1196</x:v>
      </x:c>
      <x:c r="E13" s="18" t="s">
        <x:v>46</x:v>
      </x:c>
      <x:c r="F13" s="18" t="s">
        <x:v>1197</x:v>
      </x:c>
      <x:c r="G13" s="18" t="s">
        <x:v>1198</x:v>
      </x:c>
      <x:c r="H13" s="18" t="s">
        <x:v>1199</x:v>
      </x:c>
    </x:row>
    <x:row r="14" ht="21.75" hidden="0" customHeight="1">
      <x:c r="A14" s="17" t="s">
        <x:v>1200</x:v>
      </x:c>
      <x:c r="B14" s="17"/>
      <x:c r="C14" s="17" t="s">
        <x:v>1201</x:v>
      </x:c>
      <x:c r="D14" s="17" t="s">
        <x:v>1202</x:v>
      </x:c>
      <x:c r="E14" s="17" t="s">
        <x:v>46</x:v>
      </x:c>
      <x:c r="F14" s="17" t="s">
        <x:v>1203</x:v>
      </x:c>
      <x:c r="G14" s="17" t="s">
        <x:v>1204</x:v>
      </x:c>
      <x:c r="H14" s="31" t="s">
        <x:v>1186</x:v>
      </x:c>
    </x:row>
    <x:row r="15" ht="21.75" hidden="0" customHeight="1">
      <x:c r="A15" s="18" t="s">
        <x:v>1205</x:v>
      </x:c>
      <x:c r="B15" s="18" t="s">
        <x:v>1206</x:v>
      </x:c>
      <x:c r="C15" s="18" t="s">
        <x:v>1207</x:v>
      </x:c>
      <x:c r="D15" s="18" t="s">
        <x:v>1208</x:v>
      </x:c>
      <x:c r="E15" s="18" t="s">
        <x:v>46</x:v>
      </x:c>
      <x:c r="F15" s="18" t="s">
        <x:v>1209</x:v>
      </x:c>
      <x:c r="G15" s="18" t="s">
        <x:v>1210</x:v>
      </x:c>
      <x:c r="H15" s="18" t="s">
        <x:v>1211</x:v>
      </x:c>
    </x:row>
    <x:row r="16" ht="21.75" hidden="0" customHeight="1">
      <x:c r="A16" s="17" t="s">
        <x:v>1212</x:v>
      </x:c>
      <x:c r="B16" s="17"/>
      <x:c r="C16" s="17" t="s">
        <x:v>1213</x:v>
      </x:c>
      <x:c r="D16" s="17" t="s">
        <x:v>1214</x:v>
      </x:c>
      <x:c r="E16" s="17" t="s">
        <x:v>338</x:v>
      </x:c>
      <x:c r="F16" s="17" t="s">
        <x:v>1215</x:v>
      </x:c>
      <x:c r="G16" s="17" t="s">
        <x:v>1216</x:v>
      </x:c>
      <x:c r="H16" s="31" t="s">
        <x:v>201</x:v>
      </x:c>
    </x:row>
    <x:row r="17" ht="21.75" hidden="0" customHeight="1">
      <x:c r="A17" s="18" t="s">
        <x:v>1217</x:v>
      </x:c>
      <x:c r="B17" s="18"/>
      <x:c r="C17" s="18" t="s">
        <x:v>1218</x:v>
      </x:c>
      <x:c r="D17" s="18" t="s">
        <x:v>1219</x:v>
      </x:c>
      <x:c r="E17" s="18" t="s">
        <x:v>491</x:v>
      </x:c>
      <x:c r="F17" s="18" t="s">
        <x:v>1220</x:v>
      </x:c>
      <x:c r="G17" s="18" t="s">
        <x:v>1221</x:v>
      </x:c>
      <x:c r="H17" s="18" t="s">
        <x:v>1222</x:v>
      </x:c>
    </x:row>
    <x:row r="18" ht="21.75" hidden="0" customHeight="1">
      <x:c r="A18" s="17" t="s">
        <x:v>1223</x:v>
      </x:c>
      <x:c r="B18" s="17" t="s">
        <x:v>1224</x:v>
      </x:c>
      <x:c r="C18" s="17" t="s">
        <x:v>1225</x:v>
      </x:c>
      <x:c r="D18" s="17" t="s">
        <x:v>1226</x:v>
      </x:c>
      <x:c r="E18" s="17" t="s">
        <x:v>334</x:v>
      </x:c>
      <x:c r="F18" s="17" t="s">
        <x:v>1227</x:v>
      </x:c>
      <x:c r="G18" s="17" t="s">
        <x:v>1228</x:v>
      </x:c>
      <x:c r="H18" s="31" t="s">
        <x:v>201</x:v>
      </x:c>
    </x:row>
    <x:row r="19" ht="21.75" hidden="0" customHeight="1">
      <x:c r="A19" s="18" t="s">
        <x:v>1229</x:v>
      </x:c>
      <x:c r="B19" s="18"/>
      <x:c r="C19" s="18" t="s">
        <x:v>1230</x:v>
      </x:c>
      <x:c r="D19" s="18" t="s">
        <x:v>1231</x:v>
      </x:c>
      <x:c r="E19" s="18" t="s">
        <x:v>491</x:v>
      </x:c>
      <x:c r="F19" s="18" t="s">
        <x:v>1232</x:v>
      </x:c>
      <x:c r="G19" s="18" t="s">
        <x:v>1233</x:v>
      </x:c>
      <x:c r="H19" s="27" t="s">
        <x:v>201</x:v>
      </x:c>
    </x:row>
    <x:row r="20" ht="21.75" hidden="0" customHeight="1">
      <x:c r="A20" s="17" t="s">
        <x:v>1234</x:v>
      </x:c>
      <x:c r="B20" s="17" t="s">
        <x:v>1235</x:v>
      </x:c>
      <x:c r="C20" s="17" t="s">
        <x:v>1236</x:v>
      </x:c>
      <x:c r="D20" s="17" t="s">
        <x:v>1237</x:v>
      </x:c>
      <x:c r="E20" s="17" t="s">
        <x:v>1238</x:v>
      </x:c>
      <x:c r="F20" s="17" t="s">
        <x:v>1239</x:v>
      </x:c>
      <x:c r="G20" s="17" t="s">
        <x:v>1240</x:v>
      </x:c>
      <x:c r="H20" s="17" t="s">
        <x:v>1241</x:v>
      </x:c>
    </x:row>
    <x:row r="21" ht="21.75" hidden="0" customHeight="1">
      <x:c r="A21" s="18" t="s">
        <x:v>1242</x:v>
      </x:c>
      <x:c r="B21" s="18" t="s">
        <x:v>1243</x:v>
      </x:c>
      <x:c r="C21" s="18" t="s">
        <x:v>1244</x:v>
      </x:c>
      <x:c r="D21" s="18" t="s">
        <x:v>1245</x:v>
      </x:c>
      <x:c r="E21" s="18" t="s">
        <x:v>491</x:v>
      </x:c>
      <x:c r="F21" s="18" t="s">
        <x:v>1246</x:v>
      </x:c>
      <x:c r="G21" s="18" t="s">
        <x:v>1247</x:v>
      </x:c>
      <x:c r="H21" s="18" t="s">
        <x:v>1248</x:v>
      </x:c>
    </x:row>
    <x:row r="22" ht="21.75" hidden="0" customHeight="1">
      <x:c r="A22" s="17" t="s">
        <x:v>1249</x:v>
      </x:c>
      <x:c r="B22" s="17"/>
      <x:c r="C22" s="17" t="s">
        <x:v>1250</x:v>
      </x:c>
      <x:c r="D22" s="17" t="s">
        <x:v>1251</x:v>
      </x:c>
      <x:c r="E22" s="17" t="s">
        <x:v>152</x:v>
      </x:c>
      <x:c r="F22" s="17" t="s">
        <x:v>1252</x:v>
      </x:c>
      <x:c r="G22" s="17" t="s">
        <x:v>1253</x:v>
      </x:c>
      <x:c r="H22" s="17" t="s">
        <x:v>1254</x:v>
      </x:c>
    </x:row>
    <x:row r="23" ht="15" hidden="0" customHeight="1">
      <x:c r="A23" s="18" t="s">
        <x:v>1255</x:v>
      </x:c>
      <x:c r="B23" s="18"/>
      <x:c r="C23" s="18" t="s">
        <x:v>1256</x:v>
      </x:c>
      <x:c r="D23" s="18" t="s">
        <x:v>1257</x:v>
      </x:c>
      <x:c r="E23" s="18" t="s">
        <x:v>46</x:v>
      </x:c>
      <x:c r="F23" s="18" t="s">
        <x:v>1258</x:v>
      </x:c>
      <x:c r="G23" s="18" t="s">
        <x:v>1204</x:v>
      </x:c>
      <x:c r="H23" s="27" t="s">
        <x:v>1186</x:v>
      </x:c>
    </x:row>
    <x:row r="24" ht="21.75" hidden="0" customHeight="1">
      <x:c r="A24" s="17" t="s">
        <x:v>1259</x:v>
      </x:c>
      <x:c r="B24" s="17" t="s">
        <x:v>1260</x:v>
      </x:c>
      <x:c r="C24" s="17" t="s">
        <x:v>1261</x:v>
      </x:c>
      <x:c r="D24" s="17" t="s">
        <x:v>1262</x:v>
      </x:c>
      <x:c r="E24" s="17" t="s">
        <x:v>176</x:v>
      </x:c>
      <x:c r="F24" s="17" t="s">
        <x:v>1263</x:v>
      </x:c>
      <x:c r="G24" s="17" t="s">
        <x:v>1264</x:v>
      </x:c>
      <x:c r="H24" s="17" t="s">
        <x:v>1265</x:v>
      </x:c>
    </x:row>
    <x:row r="25" ht="15" hidden="0" customHeight="1">
      <x:c r="A25" s="18" t="s">
        <x:v>1266</x:v>
      </x:c>
      <x:c r="B25" s="18"/>
      <x:c r="C25" s="18" t="s">
        <x:v>1267</x:v>
      </x:c>
      <x:c r="D25" s="18" t="s">
        <x:v>1268</x:v>
      </x:c>
      <x:c r="E25" s="18" t="s">
        <x:v>46</x:v>
      </x:c>
      <x:c r="F25" s="18" t="s">
        <x:v>1269</x:v>
      </x:c>
      <x:c r="G25" s="18" t="s">
        <x:v>1270</x:v>
      </x:c>
      <x:c r="H25" s="18" t="s">
        <x:v>1271</x:v>
      </x:c>
    </x:row>
    <x:row r="26" ht="15" hidden="0" customHeight="1">
      <x:c r="A26" s="17" t="s">
        <x:v>1272</x:v>
      </x:c>
      <x:c r="B26" s="17"/>
      <x:c r="C26" s="17" t="s">
        <x:v>1273</x:v>
      </x:c>
      <x:c r="D26" s="17" t="s">
        <x:v>1274</x:v>
      </x:c>
      <x:c r="E26" s="17" t="s">
        <x:v>46</x:v>
      </x:c>
      <x:c r="F26" s="17" t="s">
        <x:v>1275</x:v>
      </x:c>
      <x:c r="G26" s="17" t="s">
        <x:v>1276</x:v>
      </x:c>
      <x:c r="H26" s="31" t="s">
        <x:v>201</x:v>
      </x:c>
    </x:row>
    <x:row r="27" ht="21.75" hidden="0" customHeight="1">
      <x:c r="A27" s="18" t="s">
        <x:v>1277</x:v>
      </x:c>
      <x:c r="B27" s="18" t="s">
        <x:v>1278</x:v>
      </x:c>
      <x:c r="C27" s="18" t="s">
        <x:v>1279</x:v>
      </x:c>
      <x:c r="D27" s="18" t="s">
        <x:v>1280</x:v>
      </x:c>
      <x:c r="E27" s="18" t="s">
        <x:v>334</x:v>
      </x:c>
      <x:c r="F27" s="18" t="s">
        <x:v>1281</x:v>
      </x:c>
      <x:c r="G27" s="18" t="s">
        <x:v>1282</x:v>
      </x:c>
      <x:c r="H27" s="27" t="s">
        <x:v>201</x:v>
      </x:c>
    </x:row>
    <x:row r="28" ht="21.75" hidden="0" customHeight="1">
      <x:c r="A28" s="17" t="s">
        <x:v>276</x:v>
      </x:c>
      <x:c r="B28" s="17"/>
      <x:c r="C28" s="17" t="s">
        <x:v>1283</x:v>
      </x:c>
      <x:c r="D28" s="17" t="s">
        <x:v>1284</x:v>
      </x:c>
      <x:c r="E28" s="17" t="s">
        <x:v>491</x:v>
      </x:c>
      <x:c r="F28" s="17" t="s">
        <x:v>1285</x:v>
      </x:c>
      <x:c r="G28" s="17" t="s">
        <x:v>1286</x:v>
      </x:c>
      <x:c r="H28" s="17" t="s">
        <x:v>1287</x:v>
      </x:c>
    </x:row>
    <x:row r="29" ht="21.75" hidden="0" customHeight="1">
      <x:c r="A29" s="18" t="s">
        <x:v>1288</x:v>
      </x:c>
      <x:c r="B29" s="18"/>
      <x:c r="C29" s="18" t="s">
        <x:v>1289</x:v>
      </x:c>
      <x:c r="D29" s="18" t="s">
        <x:v>1290</x:v>
      </x:c>
      <x:c r="E29" s="18" t="s">
        <x:v>491</x:v>
      </x:c>
      <x:c r="F29" s="18" t="s">
        <x:v>1291</x:v>
      </x:c>
      <x:c r="G29" s="18" t="s">
        <x:v>1292</x:v>
      </x:c>
      <x:c r="H29" s="18" t="s">
        <x:v>1293</x:v>
      </x:c>
    </x:row>
    <x:row r="30" ht="15" hidden="0" customHeight="1">
      <x:c r="A30" s="17" t="s">
        <x:v>1294</x:v>
      </x:c>
      <x:c r="B30" s="17"/>
      <x:c r="C30" s="17" t="s">
        <x:v>1295</x:v>
      </x:c>
      <x:c r="D30" s="17" t="s">
        <x:v>1296</x:v>
      </x:c>
      <x:c r="E30" s="17" t="s">
        <x:v>1238</x:v>
      </x:c>
      <x:c r="F30" s="17" t="s">
        <x:v>1297</x:v>
      </x:c>
      <x:c r="G30" s="17" t="s">
        <x:v>1298</x:v>
      </x:c>
      <x:c r="H30" s="17" t="s">
        <x:v>1241</x:v>
      </x:c>
    </x:row>
    <x:row r="31" ht="21.75" hidden="0" customHeight="1">
      <x:c r="A31" s="18" t="s">
        <x:v>1299</x:v>
      </x:c>
      <x:c r="B31" s="18"/>
      <x:c r="C31" s="18" t="s">
        <x:v>1300</x:v>
      </x:c>
      <x:c r="D31" s="18" t="s">
        <x:v>1301</x:v>
      </x:c>
      <x:c r="E31" s="18" t="s">
        <x:v>152</x:v>
      </x:c>
      <x:c r="F31" s="18" t="s">
        <x:v>1302</x:v>
      </x:c>
      <x:c r="G31" s="18" t="s">
        <x:v>1303</x:v>
      </x:c>
      <x:c r="H31" s="18" t="s">
        <x:v>1304</x:v>
      </x:c>
    </x:row>
    <x:row r="32" ht="15" hidden="0" customHeight="1">
      <x:c r="A32" s="17" t="s">
        <x:v>1305</x:v>
      </x:c>
      <x:c r="B32" s="17" t="s">
        <x:v>1306</x:v>
      </x:c>
      <x:c r="C32" s="17" t="s">
        <x:v>1307</x:v>
      </x:c>
      <x:c r="D32" s="17" t="s">
        <x:v>1308</x:v>
      </x:c>
      <x:c r="E32" s="17" t="s">
        <x:v>314</x:v>
      </x:c>
      <x:c r="F32" s="17" t="s">
        <x:v>1309</x:v>
      </x:c>
      <x:c r="G32" s="17" t="s">
        <x:v>1310</x:v>
      </x:c>
      <x:c r="H32" s="17" t="s">
        <x:v>1160</x:v>
      </x:c>
    </x:row>
    <x:row r="33" ht="21.75" hidden="0" customHeight="1">
      <x:c r="A33" s="18" t="s">
        <x:v>1311</x:v>
      </x:c>
      <x:c r="B33" s="18" t="s">
        <x:v>1312</x:v>
      </x:c>
      <x:c r="C33" s="18" t="s">
        <x:v>1313</x:v>
      </x:c>
      <x:c r="D33" s="18" t="s">
        <x:v>1314</x:v>
      </x:c>
      <x:c r="E33" s="18" t="s">
        <x:v>491</x:v>
      </x:c>
      <x:c r="F33" s="18" t="s">
        <x:v>1315</x:v>
      </x:c>
      <x:c r="G33" s="18" t="s">
        <x:v>1316</x:v>
      </x:c>
      <x:c r="H33" s="18" t="s">
        <x:v>1287</x:v>
      </x:c>
    </x:row>
    <x:row r="34" ht="21.75" hidden="0" customHeight="1">
      <x:c r="A34" s="17" t="s">
        <x:v>1317</x:v>
      </x:c>
      <x:c r="B34" s="17" t="s">
        <x:v>1318</x:v>
      </x:c>
      <x:c r="C34" s="17" t="s">
        <x:v>1319</x:v>
      </x:c>
      <x:c r="D34" s="17" t="s">
        <x:v>1320</x:v>
      </x:c>
      <x:c r="E34" s="17" t="s">
        <x:v>491</x:v>
      </x:c>
      <x:c r="F34" s="17" t="s">
        <x:v>1315</x:v>
      </x:c>
      <x:c r="G34" s="17" t="s">
        <x:v>1321</x:v>
      </x:c>
      <x:c r="H34" s="17" t="s">
        <x:v>1322</x:v>
      </x:c>
    </x:row>
    <x:row r="35" ht="21.75" hidden="0" customHeight="1">
      <x:c r="A35" s="18" t="s">
        <x:v>1323</x:v>
      </x:c>
      <x:c r="B35" s="18" t="s">
        <x:v>1324</x:v>
      </x:c>
      <x:c r="C35" s="18" t="s">
        <x:v>1325</x:v>
      </x:c>
      <x:c r="D35" s="18" t="s">
        <x:v>1326</x:v>
      </x:c>
      <x:c r="E35" s="18" t="s">
        <x:v>491</x:v>
      </x:c>
      <x:c r="F35" s="18" t="s">
        <x:v>1327</x:v>
      </x:c>
      <x:c r="G35" s="18" t="s">
        <x:v>1328</x:v>
      </x:c>
      <x:c r="H35" s="18" t="s">
        <x:v>1329</x:v>
      </x:c>
    </x:row>
    <x:row r="36" ht="21.75" hidden="0" customHeight="1">
      <x:c r="A36" s="17" t="s">
        <x:v>1330</x:v>
      </x:c>
      <x:c r="B36" s="17" t="s">
        <x:v>99</x:v>
      </x:c>
      <x:c r="C36" s="17" t="s">
        <x:v>1331</x:v>
      </x:c>
      <x:c r="D36" s="17" t="s">
        <x:v>1332</x:v>
      </x:c>
      <x:c r="E36" s="17" t="s">
        <x:v>491</x:v>
      </x:c>
      <x:c r="F36" s="17" t="s">
        <x:v>1333</x:v>
      </x:c>
      <x:c r="G36" s="17" t="s">
        <x:v>1334</x:v>
      </x:c>
      <x:c r="H36" s="17" t="s">
        <x:v>1287</x:v>
      </x:c>
    </x:row>
    <x:row r="37" ht="21.75" hidden="0" customHeight="1">
      <x:c r="A37" s="18" t="s">
        <x:v>1335</x:v>
      </x:c>
      <x:c r="B37" s="18"/>
      <x:c r="C37" s="18" t="s">
        <x:v>1336</x:v>
      </x:c>
      <x:c r="D37" s="18" t="s">
        <x:v>1337</x:v>
      </x:c>
      <x:c r="E37" s="18" t="s">
        <x:v>491</x:v>
      </x:c>
      <x:c r="F37" s="18" t="s">
        <x:v>1338</x:v>
      </x:c>
      <x:c r="G37" s="18" t="s">
        <x:v>1339</x:v>
      </x:c>
      <x:c r="H37" s="18" t="s">
        <x:v>1340</x:v>
      </x:c>
    </x:row>
    <x:row r="38" ht="21.75" hidden="0" customHeight="1">
      <x:c r="A38" s="17" t="s">
        <x:v>1341</x:v>
      </x:c>
      <x:c r="B38" s="17" t="s">
        <x:v>130</x:v>
      </x:c>
      <x:c r="C38" s="17" t="s">
        <x:v>1342</x:v>
      </x:c>
      <x:c r="D38" s="17" t="s">
        <x:v>1343</x:v>
      </x:c>
      <x:c r="E38" s="17" t="s">
        <x:v>491</x:v>
      </x:c>
      <x:c r="F38" s="17" t="s">
        <x:v>1344</x:v>
      </x:c>
      <x:c r="G38" s="17" t="s">
        <x:v>1345</x:v>
      </x:c>
      <x:c r="H38" s="17" t="s">
        <x:v>1346</x:v>
      </x:c>
    </x:row>
    <x:row r="39" ht="21.75" hidden="0" customHeight="1">
      <x:c r="A39" s="18" t="s">
        <x:v>1347</x:v>
      </x:c>
      <x:c r="B39" s="18" t="s">
        <x:v>1348</x:v>
      </x:c>
      <x:c r="C39" s="18" t="s">
        <x:v>1349</x:v>
      </x:c>
      <x:c r="D39" s="18" t="s">
        <x:v>1350</x:v>
      </x:c>
      <x:c r="E39" s="18" t="s">
        <x:v>491</x:v>
      </x:c>
      <x:c r="F39" s="18" t="s">
        <x:v>1351</x:v>
      </x:c>
      <x:c r="G39" s="18" t="s">
        <x:v>1352</x:v>
      </x:c>
      <x:c r="H39" s="18" t="s">
        <x:v>1160</x:v>
      </x:c>
    </x:row>
    <x:row r="40" ht="21.75" hidden="0" customHeight="1">
      <x:c r="A40" s="17" t="s">
        <x:v>1353</x:v>
      </x:c>
      <x:c r="B40" s="17"/>
      <x:c r="C40" s="17" t="s">
        <x:v>1354</x:v>
      </x:c>
      <x:c r="D40" s="17" t="s">
        <x:v>1355</x:v>
      </x:c>
      <x:c r="E40" s="17" t="s">
        <x:v>491</x:v>
      </x:c>
      <x:c r="F40" s="17" t="s">
        <x:v>1356</x:v>
      </x:c>
      <x:c r="G40" s="17" t="s">
        <x:v>1357</x:v>
      </x:c>
      <x:c r="H40" s="17" t="s">
        <x:v>1322</x:v>
      </x:c>
    </x:row>
  </x:sheetData>
  <x:pageMargins left="0.7" right="0.7" top="0.75" bottom="0.75" header="0.3" footer="0.3"/>
</x:worksheet>
</file>

<file path=xl/worksheets/sheet15.xml><?xml version="1.0" encoding="utf-8"?>
<x:worksheet xmlns:x="http://schemas.openxmlformats.org/spreadsheetml/2006/main">
  <x:sheetPr>
    <x:tabColor rgb="FF198579"/>
  </x:sheetPr>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6" hidden="0" customWidth="1"/>
    <x:col min="5" max="5" width="26"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 min="13" max="13" width="22" hidden="0" customWidth="1"/>
    <x:col min="14" max="14" width="22" hidden="0" customWidth="1"/>
    <x:col min="15" max="15" width="22" hidden="0" customWidth="1"/>
    <x:col min="16" max="16" width="22" hidden="0" customWidth="1"/>
    <x:col min="17" max="17" width="34" hidden="0" customWidth="1"/>
    <x:col min="18" max="18" width="62" hidden="0" customWidth="1"/>
    <x:col min="19" max="19" width="62" hidden="0" customWidth="1"/>
    <x:col min="20" max="20" width="22" hidden="0" customWidth="1"/>
  </x:cols>
  <x:sheetData>
    <x:row r="1" ht="48" customHeight="1">
      <x:c r="A1" s="125" t="s">
        <x:v>669</x:v>
      </x:c>
      <x:c r="B1" s="125" t="s">
        <x:v>670</x:v>
      </x:c>
      <x:c r="C1" s="125" t="s">
        <x:v>671</x:v>
      </x:c>
      <x:c r="D1" s="125" t="s">
        <x:v>672</x:v>
      </x:c>
      <x:c r="E1" s="125" t="s">
        <x:v>673</x:v>
      </x:c>
      <x:c r="F1" s="125" t="s">
        <x:v>674</x:v>
      </x:c>
      <x:c r="G1" s="125" t="s">
        <x:v>675</x:v>
      </x:c>
      <x:c r="H1" s="125" t="s">
        <x:v>676</x:v>
      </x:c>
      <x:c r="I1" s="125" t="s">
        <x:v>677</x:v>
      </x:c>
      <x:c r="J1" s="125" t="s">
        <x:v>678</x:v>
      </x:c>
      <x:c r="K1" s="125" t="s">
        <x:v>679</x:v>
      </x:c>
      <x:c r="L1" s="125" t="s">
        <x:v>680</x:v>
      </x:c>
      <x:c r="M1" s="125" t="s">
        <x:v>681</x:v>
      </x:c>
      <x:c r="N1" s="125" t="s">
        <x:v>682</x:v>
      </x:c>
      <x:c r="O1" s="125" t="s">
        <x:v>237</x:v>
      </x:c>
      <x:c r="P1" s="125" t="s">
        <x:v>683</x:v>
      </x:c>
      <x:c r="Q1" s="125" t="str">
        <x:v>record_status</x:v>
      </x:c>
      <x:c r="R1" s="125" t="str">
        <x:v>source_url</x:v>
      </x:c>
      <x:c r="S1" s="125" t="str">
        <x:v>verification_notes</x:v>
      </x:c>
      <x:c r="T1" s="125" t="str">
        <x:v>checked_at</x:v>
      </x:c>
    </x:row>
    <x:row r="2" ht="150" customHeight="1">
      <x:c r="A2" s="89" t="str">
        <x:v>P-REAL-001</x:v>
      </x:c>
      <x:c r="B2" s="89"/>
      <x:c r="C2" s="89" t="str">
        <x:v>Toyota</x:v>
      </x:c>
      <x:c r="D2" s="89" t="str">
        <x:v>00544-H6074-770</x:v>
      </x:c>
      <x:c r="E2" s="89" t="str">
        <x:v>00544H6074770</x:v>
      </x:c>
      <x:c r="F2" s="89"/>
      <x:c r="G2" s="89" t="str">
        <x:v>Battery</x:v>
      </x:c>
      <x:c r="H2" s="89" t="n">
        <x:v>1</x:v>
      </x:c>
      <x:c r="I2" s="89"/>
      <x:c r="J2" s="89" t="str">
        <x:v>NEW</x:v>
      </x:c>
      <x:c r="K2" s="89" t="n">
        <x:v>12</x:v>
      </x:c>
      <x:c r="L2" s="89" t="str">
        <x:v>{"group":"H6/LN3","cca_a":770,"reserve_minutes":130,"_provenance":{"basis":"[OEM]","source_id":"S23","checked_at":"2026-09-23"},"_voltage_source":"[OEM] S22 p.529"}</x:v>
      </x:c>
      <x:c r="M2" s="89" t="n">
        <x:v>84</x:v>
      </x:c>
      <x:c r="N2" s="89"/>
      <x:c r="O2" s="123" t="n">
        <x:v>23</x:v>
      </x:c>
      <x:c r="P2" s="89" t="str">
        <x:v>CURATED</x:v>
      </x:c>
      <x:c r="Q2" s="89" t="str">
        <x:v>STAGED_NOT_PUBLISHABLE</x:v>
      </x:c>
      <x:c r="R2" s="89" t="str">
        <x:v>https://autoparts.toyota.com/products/product/toyota-truestart-battery-770-cca-00544h6074770</x:v>
      </x:c>
      <x:c r="S2" s="89" t="str">
        <x:v>[OEM] service replacement. Original factory battery rating unknown. Dimensions conflicting in S21. AAIA brand and PCdb term IDs not publicly verified.</x:v>
      </x:c>
      <x:c r="T2" s="90" t="n">
        <x:v>46288</x:v>
      </x:c>
    </x:row>
    <x:row r="3" ht="150" customHeight="1">
      <x:c r="A3" s="89" t="str">
        <x:v>P-REAL-002</x:v>
      </x:c>
      <x:c r="B3" s="89"/>
      <x:c r="C3" s="89" t="str">
        <x:v>Toyota</x:v>
      </x:c>
      <x:c r="D3" s="89" t="str">
        <x:v>00544-H4470-TS</x:v>
      </x:c>
      <x:c r="E3" s="89" t="str">
        <x:v>00544H4470TS</x:v>
      </x:c>
      <x:c r="F3" s="89"/>
      <x:c r="G3" s="89" t="str">
        <x:v>Battery</x:v>
      </x:c>
      <x:c r="H3" s="89" t="n">
        <x:v>1</x:v>
      </x:c>
      <x:c r="I3" s="89"/>
      <x:c r="J3" s="89" t="str">
        <x:v>NEW</x:v>
      </x:c>
      <x:c r="K3" s="89" t="n">
        <x:v>12</x:v>
      </x:c>
      <x:c r="L3" s="89" t="str">
        <x:v>{"group":"H4/LN1","cca_a":470,"reserve_minutes":74,"_provenance":{"basis":"[OEM]","source_id":"S25","checked_at":"2026-09-23"},"_voltage_source":"[OEM] S29 p.662"}</x:v>
      </x:c>
      <x:c r="M3" s="89" t="n">
        <x:v>84</x:v>
      </x:c>
      <x:c r="N3" s="89"/>
      <x:c r="O3" s="123" t="n">
        <x:v>25</x:v>
      </x:c>
      <x:c r="P3" s="89" t="str">
        <x:v>CURATED</x:v>
      </x:c>
      <x:c r="Q3" s="89" t="str">
        <x:v>STAGED_NOT_PUBLISHABLE</x:v>
      </x:c>
      <x:c r="R3" s="89" t="str">
        <x:v>https://static.nhtsa.gov/odi/tsbs/2024/MC-10251744-9999.pdf</x:v>
      </x:c>
      <x:c r="S3" s="89" t="str">
        <x:v>[OEM] service replacement. S21 controls application qualifiers. Published Ah not verified. AAIA brand and PCdb term IDs not publicly verified.</x:v>
      </x:c>
      <x:c r="T3" s="90" t="n">
        <x:v>46288</x:v>
      </x:c>
    </x:row>
    <x:row r="4" ht="150" customHeight="1">
      <x:c r="A4" s="89" t="str">
        <x:v>P-REAL-003</x:v>
      </x:c>
      <x:c r="B4" s="89"/>
      <x:c r="C4" s="89" t="str">
        <x:v>Toyota</x:v>
      </x:c>
      <x:c r="D4" s="89" t="str">
        <x:v>00544-H5061-540</x:v>
      </x:c>
      <x:c r="E4" s="89" t="str">
        <x:v>00544H5061540</x:v>
      </x:c>
      <x:c r="F4" s="89"/>
      <x:c r="G4" s="89" t="str">
        <x:v>Battery</x:v>
      </x:c>
      <x:c r="H4" s="89" t="n">
        <x:v>1</x:v>
      </x:c>
      <x:c r="I4" s="89"/>
      <x:c r="J4" s="89" t="str">
        <x:v>NEW</x:v>
      </x:c>
      <x:c r="K4" s="89" t="n">
        <x:v>12</x:v>
      </x:c>
      <x:c r="L4" s="89" t="str">
        <x:v>{"group":"H5/LN2","cca_a":540,"reserve_minutes":100,"_provenance":{"basis":"[OEM]","source_id":"S24","checked_at":"2026-09-23"},"_voltage_source":"[OEM] S29 p.662"}</x:v>
      </x:c>
      <x:c r="M4" s="89" t="n">
        <x:v>84</x:v>
      </x:c>
      <x:c r="N4" s="89"/>
      <x:c r="O4" s="123" t="n">
        <x:v>24</x:v>
      </x:c>
      <x:c r="P4" s="89" t="str">
        <x:v>CURATED</x:v>
      </x:c>
      <x:c r="Q4" s="89" t="str">
        <x:v>STAGED_NOT_PUBLISHABLE</x:v>
      </x:c>
      <x:c r="R4" s="89" t="str">
        <x:v>https://autoparts.toyota.com/products/product/toyota-truestart-battery-540-cca-00544h5061540</x:v>
      </x:c>
      <x:c r="S4" s="89" t="str">
        <x:v>[OEM] service replacement. S21 controls application qualifiers. Dimensions conflicting. AAIA brand and PCdb term IDs not publicly verified.</x:v>
      </x:c>
      <x:c r="T4" s="90" t="n">
        <x:v>46288</x:v>
      </x:c>
    </x:row>
    <x:row r="5" ht="150" customHeight="1">
      <x:c r="A5" s="89" t="str">
        <x:v>P-REAL-004</x:v>
      </x:c>
      <x:c r="B5" s="89"/>
      <x:c r="C5" s="89" t="str">
        <x:v>Interstate</x:v>
      </x:c>
      <x:c r="D5" s="89" t="str">
        <x:v>MTP-48/H6</x:v>
      </x:c>
      <x:c r="E5" s="89" t="str">
        <x:v>MTP48H6</x:v>
      </x:c>
      <x:c r="F5" s="89"/>
      <x:c r="G5" s="89" t="str">
        <x:v>Battery</x:v>
      </x:c>
      <x:c r="H5" s="89" t="n">
        <x:v>0</x:v>
      </x:c>
      <x:c r="I5" s="89"/>
      <x:c r="J5" s="89" t="str">
        <x:v>NEW</x:v>
      </x:c>
      <x:c r="K5" s="89" t="n">
        <x:v>12</x:v>
      </x:c>
      <x:c r="L5" s="89" t="str">
        <x:v>{"group":"H6","chemistry":"FLOODED","cca_a":730,"ca_a":910,"reserve_minutes":115,"ah":70,"length_in":10.9375,"width_in":6.875,"height_in":7.4375,"termination":"TOP","_provenance":{"basis":"[aftermarket]","source_id":"S26","checked_at":"2026-09-23"}}</x:v>
      </x:c>
      <x:c r="M5" s="89"/>
      <x:c r="N5" s="89"/>
      <x:c r="O5" s="123" t="n">
        <x:v>26</x:v>
      </x:c>
      <x:c r="P5" s="89" t="str">
        <x:v>CURATED</x:v>
      </x:c>
      <x:c r="Q5" s="89" t="str">
        <x:v>STAGED_NOT_PUBLISHABLE</x:v>
      </x:c>
      <x:c r="R5" s="89" t="str">
        <x:v>https://www.interstatebatteries.com/products/mtp-48/h6</x:v>
      </x:c>
      <x:c r="S5" s="89" t="str">
        <x:v>[aftermarket] product-specific data. Exact Camry LE fitment not verified. AAIA brand and PCdb term IDs not publicly verified.</x:v>
      </x:c>
      <x:c r="T5" s="90" t="n">
        <x:v>46288</x:v>
      </x:c>
    </x:row>
    <x:row r="6" ht="150" customHeight="1">
      <x:c r="A6" s="89" t="str">
        <x:v>P-REAL-005</x:v>
      </x:c>
      <x:c r="B6" s="89"/>
      <x:c r="C6" s="89" t="str">
        <x:v>Honda</x:v>
      </x:c>
      <x:c r="D6" s="89" t="str">
        <x:v>31500-TLA-EFB100M</x:v>
      </x:c>
      <x:c r="E6" s="89" t="str">
        <x:v>31500TLAEFB100M</x:v>
      </x:c>
      <x:c r="F6" s="89"/>
      <x:c r="G6" s="89" t="str">
        <x:v>Battery</x:v>
      </x:c>
      <x:c r="H6" s="89" t="n">
        <x:v>1</x:v>
      </x:c>
      <x:c r="I6" s="89"/>
      <x:c r="J6" s="89" t="str">
        <x:v>NEW</x:v>
      </x:c>
      <x:c r="K6" s="89"/>
      <x:c r="L6" s="89" t="str">
        <x:v>{"_provenance":{"basis":"[OEM]","source_id":"S27","checked_at":"2026-09-23"}}</x:v>
      </x:c>
      <x:c r="M6" s="89"/>
      <x:c r="N6" s="89"/>
      <x:c r="O6" s="123" t="n">
        <x:v>27</x:v>
      </x:c>
      <x:c r="P6" s="89" t="str">
        <x:v>CURATED</x:v>
      </x:c>
      <x:c r="Q6" s="89" t="str">
        <x:v>STAGED_NOT_PUBLISHABLE</x:v>
      </x:c>
      <x:c r="R6" s="89" t="str">
        <x:v>https://www.hondaautomotiveparts.com/v-2023-honda-civic--si--1-5l-l4-gas/electrical--battery</x:v>
      </x:c>
      <x:c r="S6" s="89" t="str">
        <x:v>[OEM] dealer-listed service part for 2023 Civic Si. Do not decode specifications from PN. AAIA brand and PCdb term IDs not publicly verified.</x:v>
      </x:c>
      <x:c r="T6" s="90" t="n">
        <x:v>46288</x:v>
      </x:c>
    </x:row>
    <x:row r="7" ht="150" customHeight="1">
      <x:c r="A7" s="89" t="str">
        <x:v>P-REAL-006</x:v>
      </x:c>
      <x:c r="B7" s="89"/>
      <x:c r="C7" s="89" t="str">
        <x:v>Honda</x:v>
      </x:c>
      <x:c r="D7" s="89" t="str">
        <x:v>31500-TGG-100M</x:v>
      </x:c>
      <x:c r="E7" s="89" t="str">
        <x:v>31500TGG100M</x:v>
      </x:c>
      <x:c r="F7" s="89"/>
      <x:c r="G7" s="89" t="str">
        <x:v>Battery</x:v>
      </x:c>
      <x:c r="H7" s="89" t="n">
        <x:v>1</x:v>
      </x:c>
      <x:c r="I7" s="89"/>
      <x:c r="J7" s="89" t="str">
        <x:v>NEW</x:v>
      </x:c>
      <x:c r="K7" s="89"/>
      <x:c r="L7" s="89" t="str">
        <x:v>{"_provenance":{"basis":"[OEM]","source_id":"S28","checked_at":"2026-09-23"}}</x:v>
      </x:c>
      <x:c r="M7" s="89"/>
      <x:c r="N7" s="89"/>
      <x:c r="O7" s="123" t="n">
        <x:v>28</x:v>
      </x:c>
      <x:c r="P7" s="89" t="str">
        <x:v>CURATED</x:v>
      </x:c>
      <x:c r="Q7" s="89" t="str">
        <x:v>STAGED_NOT_PUBLISHABLE</x:v>
      </x:c>
      <x:c r="R7" s="89" t="str">
        <x:v>https://www.hondaautomotiveparts.com/v-2019-honda-civic--type-r--2-0l-l4-gas/electrical--battery</x:v>
      </x:c>
      <x:c r="S7" s="89" t="str">
        <x:v>[OEM] dealer-listed service part for 2019 Type R. Generic engine description conflict retained. AAIA brand and PCdb term IDs not publicly verified.</x:v>
      </x:c>
      <x:c r="T7" s="90" t="n">
        <x:v>46288</x:v>
      </x:c>
    </x:row>
    <x:row r="8" ht="150" customHeight="1">
      <x:c r="A8" s="89" t="str">
        <x:v>P-REAL-007</x:v>
      </x:c>
      <x:c r="B8" s="89"/>
      <x:c r="C8" s="89" t="str">
        <x:v>DENSO</x:v>
      </x:c>
      <x:c r="D8" s="89" t="str">
        <x:v>FC16HR-Q8</x:v>
      </x:c>
      <x:c r="E8" s="89" t="str">
        <x:v>FC16HRQ8</x:v>
      </x:c>
      <x:c r="F8" s="89"/>
      <x:c r="G8" s="89" t="str">
        <x:v>Spark Plug</x:v>
      </x:c>
      <x:c r="H8" s="89"/>
      <x:c r="I8" s="89"/>
      <x:c r="J8" s="89" t="str">
        <x:v>NEW</x:v>
      </x:c>
      <x:c r="K8" s="89"/>
      <x:c r="L8" s="89" t="str">
        <x:v>{"gap_mm":0.8,"tip":"IRIDIUM","engine":"A25A-FKS","_provenance":{"basis":"[OEM]","source_id":"S22","checked_at":"2026-09-23"}}</x:v>
      </x:c>
      <x:c r="M8" s="89"/>
      <x:c r="N8" s="89"/>
      <x:c r="O8" s="123" t="n">
        <x:v>22</x:v>
      </x:c>
      <x:c r="P8" s="89" t="str">
        <x:v>CURATED</x:v>
      </x:c>
      <x:c r="Q8" s="89" t="str">
        <x:v>STAGED_NOT_PUBLISHABLE</x:v>
      </x:c>
      <x:c r="R8" s="89" t="str">
        <x:v>https://assets.sia.toyota.com/publications/en/om-s/OM06142U/pdf/OM06142U.pdf</x:v>
      </x:c>
      <x:c r="S8" s="89" t="str">
        <x:v>[OEM] Toyota-specified DENSO plug. No plug-gap adjustment. OEM-branded service PN not established. AAIA brand and PCdb term IDs not publicly verified.</x:v>
      </x:c>
      <x:c r="T8" s="90" t="n">
        <x:v>46288</x:v>
      </x:c>
    </x:row>
  </x:sheetData>
  <x:pageMargins left="0.7" right="0.7" top="0.75" bottom="0.75" header="0.3" footer="0.3"/>
</x:worksheet>
</file>

<file path=xl/worksheets/sheet16.xml><?xml version="1.0" encoding="utf-8"?>
<x:worksheet xmlns:x="http://schemas.openxmlformats.org/spreadsheetml/2006/main">
  <x:sheetPr>
    <x:tabColor rgb="FF198579"/>
  </x:sheetPr>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55" hidden="0" customWidth="1"/>
    <x:col min="7" max="7" width="22" hidden="0" customWidth="1"/>
    <x:col min="8" max="8" width="22" hidden="0" customWidth="1"/>
    <x:col min="9" max="9" width="22" hidden="0" customWidth="1"/>
    <x:col min="10" max="10" width="45" hidden="0" customWidth="1"/>
    <x:col min="11" max="11" width="45" hidden="0" customWidth="1"/>
    <x:col min="12" max="12" width="45" hidden="0" customWidth="1"/>
    <x:col min="13" max="13" width="22" hidden="0" customWidth="1"/>
    <x:col min="14" max="14" width="22" hidden="0" customWidth="1"/>
    <x:col min="15" max="15" width="22" hidden="0" customWidth="1"/>
    <x:col min="16" max="16" width="22" hidden="0" customWidth="1"/>
    <x:col min="17" max="17" width="34" hidden="0" customWidth="1"/>
    <x:col min="18" max="18" width="62" hidden="0" customWidth="1"/>
    <x:col min="19" max="19" width="62" hidden="0" customWidth="1"/>
    <x:col min="20" max="20" width="22" hidden="0" customWidth="1"/>
  </x:cols>
  <x:sheetData>
    <x:row r="1" ht="48" customHeight="1">
      <x:c r="A1" s="125" t="s">
        <x:v>776</x:v>
      </x:c>
      <x:c r="B1" s="125" t="s">
        <x:v>670</x:v>
      </x:c>
      <x:c r="C1" s="125" t="s">
        <x:v>672</x:v>
      </x:c>
      <x:c r="D1" s="125" t="s">
        <x:v>53</x:v>
      </x:c>
      <x:c r="E1" s="125" t="s">
        <x:v>47</x:v>
      </x:c>
      <x:c r="F1" s="125" t="s">
        <x:v>777</x:v>
      </x:c>
      <x:c r="G1" s="125" t="s">
        <x:v>778</x:v>
      </x:c>
      <x:c r="H1" s="125" t="s">
        <x:v>779</x:v>
      </x:c>
      <x:c r="I1" s="125" t="s">
        <x:v>780</x:v>
      </x:c>
      <x:c r="J1" s="125" t="s">
        <x:v>781</x:v>
      </x:c>
      <x:c r="K1" s="125" t="s">
        <x:v>782</x:v>
      </x:c>
      <x:c r="L1" s="125" t="s">
        <x:v>783</x:v>
      </x:c>
      <x:c r="M1" s="125" t="s">
        <x:v>237</x:v>
      </x:c>
      <x:c r="N1" s="125" t="s">
        <x:v>784</x:v>
      </x:c>
      <x:c r="O1" s="125" t="s">
        <x:v>785</x:v>
      </x:c>
      <x:c r="P1" s="125" t="s">
        <x:v>786</x:v>
      </x:c>
      <x:c r="Q1" s="125" t="str">
        <x:v>local_sample_vehicle_ref</x:v>
      </x:c>
      <x:c r="R1" s="125" t="str">
        <x:v>record_status</x:v>
      </x:c>
      <x:c r="S1" s="125" t="str">
        <x:v>basis_and_remaining_checks</x:v>
      </x:c>
      <x:c r="T1" s="125" t="str">
        <x:v>checked_at</x:v>
      </x:c>
    </x:row>
    <x:row r="2" ht="150" customHeight="1">
      <x:c r="A2" s="89" t="str">
        <x:v>F-STAGE-001</x:v>
      </x:c>
      <x:c r="B2" s="89"/>
      <x:c r="C2" s="89" t="str">
        <x:v>00544-H6074-770</x:v>
      </x:c>
      <x:c r="D2" s="89"/>
      <x:c r="E2" s="89"/>
      <x:c r="F2" s="89" t="str">
        <x:v>{"year":2019,"make":"Toyota","model":"Camry","trim":"LE","engine_liters":2.5,"hybrid":false}</x:v>
      </x:c>
      <x:c r="G2" s="89"/>
      <x:c r="H2" s="89"/>
      <x:c r="I2" s="89"/>
      <x:c r="J2" s="89" t="str">
        <x:v>VCDB_UNMAPPED;BRAND_UNMAPPED;TECH_REVIEW_MISSING;QUALIFIERS_UNRESOLVED</x:v>
      </x:c>
      <x:c r="K2" s="89" t="str">
        <x:v>H6 service application. S23 identifies the H6 service product.</x:v>
      </x:c>
      <x:c r="L2" s="89" t="str">
        <x:v>https://www.toyotapartsandservice.com/wp-content/uploads/2024/10/03_Batteries2024_hi.pdf</x:v>
      </x:c>
      <x:c r="M2" s="123" t="n">
        <x:v>21</x:v>
      </x:c>
      <x:c r="N2" s="89"/>
      <x:c r="O2" s="89"/>
      <x:c r="P2" s="89"/>
      <x:c r="Q2" s="89" t="str">
        <x:v>910002</x:v>
      </x:c>
      <x:c r="R2" s="89" t="str">
        <x:v>STAGED_NOT_PUBLISHABLE</x:v>
      </x:c>
      <x:c r="S2" s="89" t="str">
        <x:v>[OEM] source claim. No tier until canonical mapping, qualifiers, physical fit and named technician review are completed.</x:v>
      </x:c>
      <x:c r="T2" s="90" t="n">
        <x:v>46288</x:v>
      </x:c>
    </x:row>
    <x:row r="3" ht="150" customHeight="1">
      <x:c r="A3" s="89" t="str">
        <x:v>F-STAGE-002</x:v>
      </x:c>
      <x:c r="B3" s="89"/>
      <x:c r="C3" s="89" t="str">
        <x:v>00544-H4470-TS</x:v>
      </x:c>
      <x:c r="D3" s="89"/>
      <x:c r="E3" s="89"/>
      <x:c r="F3" s="89" t="str">
        <x:v>{"year":2019,"make":"Toyota","model":"RAV4","trim":"LE Hybrid","battery_type_required":["A","B"],"installed_case_required":"LN1","type_resolved":false}</x:v>
      </x:c>
      <x:c r="G3" s="89"/>
      <x:c r="H3" s="89"/>
      <x:c r="I3" s="89"/>
      <x:c r="J3" s="89" t="str">
        <x:v>VCDB_UNMAPPED;BRAND_UNMAPPED;TECH_REVIEW_MISSING;QUALIFIERS_UNRESOLVED</x:v>
      </x:c>
      <x:c r="K3" s="89" t="str">
        <x:v>S29 minimum capacity/CCA and vent conditions apply. Product Ah not publicly verified.</x:v>
      </x:c>
      <x:c r="L3" s="89" t="str">
        <x:v>https://www.toyotapartsandservice.com/wp-content/uploads/2024/10/03_Batteries2024_hi.pdf</x:v>
      </x:c>
      <x:c r="M3" s="123" t="n">
        <x:v>21</x:v>
      </x:c>
      <x:c r="N3" s="89"/>
      <x:c r="O3" s="89"/>
      <x:c r="P3" s="89"/>
      <x:c r="Q3" s="89" t="str">
        <x:v>910004</x:v>
      </x:c>
      <x:c r="R3" s="89" t="str">
        <x:v>STAGED_NOT_PUBLISHABLE</x:v>
      </x:c>
      <x:c r="S3" s="89" t="str">
        <x:v>[OEM] source claim. No tier until canonical mapping, qualifiers, physical fit and named technician review are completed.</x:v>
      </x:c>
      <x:c r="T3" s="90" t="n">
        <x:v>46288</x:v>
      </x:c>
    </x:row>
    <x:row r="4" ht="150" customHeight="1">
      <x:c r="A4" s="89" t="str">
        <x:v>F-STAGE-003</x:v>
      </x:c>
      <x:c r="B4" s="89"/>
      <x:c r="C4" s="89" t="str">
        <x:v>00544-H5061-540</x:v>
      </x:c>
      <x:c r="D4" s="89"/>
      <x:c r="E4" s="89"/>
      <x:c r="F4" s="89" t="str">
        <x:v>{"year":2019,"make":"Toyota","model":"RAV4","trim":"LE Hybrid","battery_type_required":"C","installed_case_required":"LN2","type_resolved":false}</x:v>
      </x:c>
      <x:c r="G4" s="89"/>
      <x:c r="H4" s="89"/>
      <x:c r="I4" s="89"/>
      <x:c r="J4" s="89" t="str">
        <x:v>VCDB_UNMAPPED;BRAND_UNMAPPED;TECH_REVIEW_MISSING;QUALIFIERS_UNRESOLVED</x:v>
      </x:c>
      <x:c r="K4" s="89" t="str">
        <x:v>S29 minimum capacity/CCA and vent conditions apply. Product Ah not publicly verified.</x:v>
      </x:c>
      <x:c r="L4" s="89" t="str">
        <x:v>https://www.toyotapartsandservice.com/wp-content/uploads/2024/10/03_Batteries2024_hi.pdf</x:v>
      </x:c>
      <x:c r="M4" s="123" t="n">
        <x:v>21</x:v>
      </x:c>
      <x:c r="N4" s="89"/>
      <x:c r="O4" s="89"/>
      <x:c r="P4" s="89"/>
      <x:c r="Q4" s="89" t="str">
        <x:v>910004</x:v>
      </x:c>
      <x:c r="R4" s="89" t="str">
        <x:v>STAGED_NOT_PUBLISHABLE</x:v>
      </x:c>
      <x:c r="S4" s="89" t="str">
        <x:v>[OEM] source claim. No tier until canonical mapping, qualifiers, physical fit and named technician review are completed.</x:v>
      </x:c>
      <x:c r="T4" s="90" t="n">
        <x:v>46288</x:v>
      </x:c>
    </x:row>
    <x:row r="5" ht="150" customHeight="1">
      <x:c r="A5" s="89" t="str">
        <x:v>F-STAGE-004</x:v>
      </x:c>
      <x:c r="B5" s="89"/>
      <x:c r="C5" s="89" t="str">
        <x:v>31500-TLA-EFB100M</x:v>
      </x:c>
      <x:c r="D5" s="89"/>
      <x:c r="E5" s="89"/>
      <x:c r="F5" s="89" t="str">
        <x:v>{"year":2023,"make":"Honda","model":"Civic","trim":"Si","engine_liters":1.5}</x:v>
      </x:c>
      <x:c r="G5" s="89"/>
      <x:c r="H5" s="89"/>
      <x:c r="I5" s="89"/>
      <x:c r="J5" s="89" t="str">
        <x:v>VCDB_UNMAPPED;BRAND_UNMAPPED;TECH_REVIEW_MISSING;QUALIFIERS_UNRESOLVED</x:v>
      </x:c>
      <x:c r="K5" s="89" t="str">
        <x:v>Trim-specific dealer listing. No group, chemistry or CCA inheritance.</x:v>
      </x:c>
      <x:c r="L5" s="89" t="str">
        <x:v>https://www.hondaautomotiveparts.com/v-2023-honda-civic--si--1-5l-l4-gas/electrical--battery</x:v>
      </x:c>
      <x:c r="M5" s="123" t="n">
        <x:v>27</x:v>
      </x:c>
      <x:c r="N5" s="89"/>
      <x:c r="O5" s="89"/>
      <x:c r="P5" s="89"/>
      <x:c r="Q5" s="89" t="str">
        <x:v>910025</x:v>
      </x:c>
      <x:c r="R5" s="89" t="str">
        <x:v>STAGED_NOT_PUBLISHABLE</x:v>
      </x:c>
      <x:c r="S5" s="89" t="str">
        <x:v>[OEM] source claim. No tier until canonical mapping, qualifiers, physical fit and named technician review are completed.</x:v>
      </x:c>
      <x:c r="T5" s="90" t="n">
        <x:v>46288</x:v>
      </x:c>
    </x:row>
    <x:row r="6" ht="150" customHeight="1">
      <x:c r="A6" s="89" t="str">
        <x:v>F-STAGE-005</x:v>
      </x:c>
      <x:c r="B6" s="89"/>
      <x:c r="C6" s="89" t="str">
        <x:v>31500-TGG-100M</x:v>
      </x:c>
      <x:c r="D6" s="89"/>
      <x:c r="E6" s="89"/>
      <x:c r="F6" s="89" t="str">
        <x:v>{"year":2019,"make":"Honda","model":"Civic","trim":"Type R","engine_liters":2}</x:v>
      </x:c>
      <x:c r="G6" s="89"/>
      <x:c r="H6" s="89"/>
      <x:c r="I6" s="89"/>
      <x:c r="J6" s="89" t="str">
        <x:v>VCDB_UNMAPPED;BRAND_UNMAPPED;TECH_REVIEW_MISSING;QUALIFIERS_UNRESOLVED</x:v>
      </x:c>
      <x:c r="K6" s="89" t="str">
        <x:v>Trim-specific dealer listing. Generic description conflict: 1.5L text.</x:v>
      </x:c>
      <x:c r="L6" s="89" t="str">
        <x:v>https://www.hondaautomotiveparts.com/v-2019-honda-civic--type-r--2-0l-l4-gas/electrical--battery</x:v>
      </x:c>
      <x:c r="M6" s="123" t="n">
        <x:v>28</x:v>
      </x:c>
      <x:c r="N6" s="89"/>
      <x:c r="O6" s="89"/>
      <x:c r="P6" s="89"/>
      <x:c r="Q6" s="89" t="str">
        <x:v>910022</x:v>
      </x:c>
      <x:c r="R6" s="89" t="str">
        <x:v>STAGED_NOT_PUBLISHABLE</x:v>
      </x:c>
      <x:c r="S6" s="89" t="str">
        <x:v>[OEM] source claim. No tier until canonical mapping, qualifiers, physical fit and named technician review are completed.</x:v>
      </x:c>
      <x:c r="T6" s="90" t="n">
        <x:v>46288</x:v>
      </x:c>
    </x:row>
    <x:row r="7" ht="150" customHeight="1">
      <x:c r="A7" s="89" t="str">
        <x:v>F-STAGE-006</x:v>
      </x:c>
      <x:c r="B7" s="89"/>
      <x:c r="C7" s="89" t="str">
        <x:v>FC16HR-Q8</x:v>
      </x:c>
      <x:c r="D7" s="89"/>
      <x:c r="E7" s="89"/>
      <x:c r="F7" s="89" t="str">
        <x:v>{"year":2019,"make":"Toyota","model":"Camry","trim":"LE","engine_code":"A25A-FKS"}</x:v>
      </x:c>
      <x:c r="G7" s="89"/>
      <x:c r="H7" s="89"/>
      <x:c r="I7" s="89"/>
      <x:c r="J7" s="89" t="str">
        <x:v>VCDB_UNMAPPED;BRAND_UNMAPPED;TECH_REVIEW_MISSING;QUALIFIERS_UNRESOLVED</x:v>
      </x:c>
      <x:c r="K7" s="89" t="str">
        <x:v>Owner manual p.545 specifies plug. Quantity not inferred.</x:v>
      </x:c>
      <x:c r="L7" s="89" t="str">
        <x:v>https://assets.sia.toyota.com/publications/en/om-s/OM06142U/pdf/OM06142U.pdf</x:v>
      </x:c>
      <x:c r="M7" s="123" t="n">
        <x:v>22</x:v>
      </x:c>
      <x:c r="N7" s="89"/>
      <x:c r="O7" s="89"/>
      <x:c r="P7" s="89"/>
      <x:c r="Q7" s="89" t="str">
        <x:v>910002</x:v>
      </x:c>
      <x:c r="R7" s="89" t="str">
        <x:v>STAGED_NOT_PUBLISHABLE</x:v>
      </x:c>
      <x:c r="S7" s="89" t="str">
        <x:v>[OEM] source claim. No tier until canonical mapping, qualifiers, physical fit and named technician review are completed.</x:v>
      </x:c>
      <x:c r="T7" s="90" t="n">
        <x:v>46288</x:v>
      </x:c>
    </x:row>
  </x:sheetData>
  <x:pageMargins left="0.7" right="0.7" top="0.75" bottom="0.75" header="0.3" footer="0.3"/>
</x:worksheet>
</file>